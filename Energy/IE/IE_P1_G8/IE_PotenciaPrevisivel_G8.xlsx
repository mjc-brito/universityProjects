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pgmb\Desktop\Trab_D\"/>
    </mc:Choice>
  </mc:AlternateContent>
  <xr:revisionPtr revIDLastSave="0" documentId="13_ncr:1_{7CFCE46C-C9B4-4CF5-BA1A-56E4CAE29267}" xr6:coauthVersionLast="47" xr6:coauthVersionMax="47" xr10:uidLastSave="{00000000-0000-0000-0000-000000000000}"/>
  <bookViews>
    <workbookView xWindow="3510" yWindow="3510" windowWidth="21600" windowHeight="11385" activeTab="4" xr2:uid="{00000000-000D-0000-FFFF-FFFF00000000}"/>
  </bookViews>
  <sheets>
    <sheet name="Influencias_Externas" sheetId="1" r:id="rId1"/>
    <sheet name="Maquinas_e_Aparelhos" sheetId="2" r:id="rId2"/>
    <sheet name="AVAC" sheetId="3" state="hidden" r:id="rId3"/>
    <sheet name="Iluminaçao_e_Tomadas" sheetId="4" r:id="rId4"/>
    <sheet name="Potencia_Previsive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4" l="1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1" i="4"/>
  <c r="I9" i="4"/>
  <c r="I8" i="4"/>
  <c r="I7" i="4"/>
  <c r="I6" i="4"/>
  <c r="I32" i="4" s="1"/>
  <c r="I16" i="3"/>
  <c r="I15" i="3"/>
  <c r="I14" i="3"/>
  <c r="I13" i="3"/>
  <c r="I12" i="3"/>
  <c r="I11" i="3"/>
  <c r="I10" i="3"/>
  <c r="I9" i="3"/>
  <c r="I8" i="3"/>
  <c r="I7" i="3"/>
  <c r="I6" i="3"/>
  <c r="I5" i="3"/>
  <c r="I18" i="3" s="1"/>
  <c r="Z20" i="2"/>
  <c r="Z19" i="2"/>
  <c r="Z18" i="2"/>
  <c r="Z17" i="2"/>
  <c r="Z16" i="2"/>
  <c r="H16" i="2"/>
  <c r="G16" i="2"/>
  <c r="D16" i="2"/>
  <c r="Z15" i="2"/>
  <c r="K15" i="2"/>
  <c r="L15" i="2" s="1"/>
  <c r="J15" i="2"/>
  <c r="I15" i="2"/>
  <c r="Z14" i="2"/>
  <c r="K14" i="2"/>
  <c r="L14" i="2" s="1"/>
  <c r="J14" i="2"/>
  <c r="I14" i="2"/>
  <c r="Z13" i="2"/>
  <c r="K13" i="2"/>
  <c r="L13" i="2" s="1"/>
  <c r="J13" i="2"/>
  <c r="I13" i="2"/>
  <c r="Z12" i="2"/>
  <c r="L12" i="2"/>
  <c r="K12" i="2"/>
  <c r="J12" i="2"/>
  <c r="I12" i="2"/>
  <c r="Z11" i="2"/>
  <c r="K11" i="2"/>
  <c r="L11" i="2" s="1"/>
  <c r="J11" i="2"/>
  <c r="I11" i="2"/>
  <c r="Z10" i="2"/>
  <c r="K10" i="2"/>
  <c r="L10" i="2" s="1"/>
  <c r="J10" i="2"/>
  <c r="I10" i="2"/>
  <c r="Z9" i="2"/>
  <c r="L9" i="2"/>
  <c r="K9" i="2"/>
  <c r="J9" i="2"/>
  <c r="I9" i="2"/>
  <c r="Z8" i="2"/>
  <c r="Z21" i="2" s="1"/>
  <c r="K8" i="2"/>
  <c r="L8" i="2" s="1"/>
  <c r="J8" i="2"/>
  <c r="J16" i="2" s="1"/>
  <c r="H17" i="2" s="1"/>
  <c r="I8" i="2"/>
  <c r="I16" i="2" s="1"/>
  <c r="G17" i="2" s="1"/>
  <c r="L16" i="2" l="1"/>
  <c r="K16" i="2"/>
  <c r="B3" i="5" s="1"/>
  <c r="F3" i="5" s="1"/>
</calcChain>
</file>

<file path=xl/sharedStrings.xml><?xml version="1.0" encoding="utf-8"?>
<sst xmlns="http://schemas.openxmlformats.org/spreadsheetml/2006/main" count="330" uniqueCount="140">
  <si>
    <t>Anexo A - Classificação das Influências Externas</t>
  </si>
  <si>
    <t xml:space="preserve">Designação dos locais </t>
  </si>
  <si>
    <t>Qtd.</t>
  </si>
  <si>
    <t>Àrea(m2)</t>
  </si>
  <si>
    <t>Fatores RTIEBT</t>
  </si>
  <si>
    <t>Classificão mínima PROJETO</t>
  </si>
  <si>
    <t>AA</t>
  </si>
  <si>
    <t>AB</t>
  </si>
  <si>
    <t>AC</t>
  </si>
  <si>
    <t>AD</t>
  </si>
  <si>
    <t>AE</t>
  </si>
  <si>
    <t>AF</t>
  </si>
  <si>
    <t>AG</t>
  </si>
  <si>
    <t>AH</t>
  </si>
  <si>
    <t>AJ</t>
  </si>
  <si>
    <t>AK</t>
  </si>
  <si>
    <t>AL</t>
  </si>
  <si>
    <t>AM</t>
  </si>
  <si>
    <t>AN</t>
  </si>
  <si>
    <t>AP</t>
  </si>
  <si>
    <t>AQ</t>
  </si>
  <si>
    <t>AR</t>
  </si>
  <si>
    <t>AS</t>
  </si>
  <si>
    <t>BA</t>
  </si>
  <si>
    <t>BB</t>
  </si>
  <si>
    <t>BC</t>
  </si>
  <si>
    <t>BD</t>
  </si>
  <si>
    <t>BE</t>
  </si>
  <si>
    <t>CA</t>
  </si>
  <si>
    <t>CB</t>
  </si>
  <si>
    <t>IP</t>
  </si>
  <si>
    <t>IK</t>
  </si>
  <si>
    <t>A.0.0</t>
  </si>
  <si>
    <t>Refeitório</t>
  </si>
  <si>
    <t>--</t>
  </si>
  <si>
    <t>IP60</t>
  </si>
  <si>
    <t>IK02</t>
  </si>
  <si>
    <t>A.0.1</t>
  </si>
  <si>
    <t>Copa</t>
  </si>
  <si>
    <t>IP50</t>
  </si>
  <si>
    <t>A.0.2</t>
  </si>
  <si>
    <t>Despensa</t>
  </si>
  <si>
    <t>IP40</t>
  </si>
  <si>
    <t>A.0.3</t>
  </si>
  <si>
    <t>Vestiario</t>
  </si>
  <si>
    <t>V0</t>
  </si>
  <si>
    <t>-</t>
  </si>
  <si>
    <t>V1</t>
  </si>
  <si>
    <t>IP27</t>
  </si>
  <si>
    <t>V2</t>
  </si>
  <si>
    <t>IP24</t>
  </si>
  <si>
    <t>V3</t>
  </si>
  <si>
    <t>IP23</t>
  </si>
  <si>
    <t>A.0.4</t>
  </si>
  <si>
    <t>Corredores</t>
  </si>
  <si>
    <t>IP20</t>
  </si>
  <si>
    <t>A.0.5</t>
  </si>
  <si>
    <t>Arrecadaçao</t>
  </si>
  <si>
    <t>A.0.6</t>
  </si>
  <si>
    <t>Recepção</t>
  </si>
  <si>
    <t>A.0.7</t>
  </si>
  <si>
    <t>Gabinete de Prep</t>
  </si>
  <si>
    <t>A.0.8</t>
  </si>
  <si>
    <t>Laboratorio</t>
  </si>
  <si>
    <t>IK07</t>
  </si>
  <si>
    <t>A.0.9</t>
  </si>
  <si>
    <t>Manutençao</t>
  </si>
  <si>
    <t>A.0.10</t>
  </si>
  <si>
    <t>Area de exposiçao</t>
  </si>
  <si>
    <t>A.0.11</t>
  </si>
  <si>
    <t>PT</t>
  </si>
  <si>
    <t>A.0.12</t>
  </si>
  <si>
    <t>Nave Industrial</t>
  </si>
  <si>
    <t>A.0.13</t>
  </si>
  <si>
    <t>Estufa</t>
  </si>
  <si>
    <t>A.1.0</t>
  </si>
  <si>
    <t>Reunioes</t>
  </si>
  <si>
    <t>A.1.1</t>
  </si>
  <si>
    <t>Arquivo</t>
  </si>
  <si>
    <t>A.1.2</t>
  </si>
  <si>
    <t>I.S</t>
  </si>
  <si>
    <t>IP41</t>
  </si>
  <si>
    <t>A.1.3</t>
  </si>
  <si>
    <t>A.1.4</t>
  </si>
  <si>
    <t>Sala de desenho</t>
  </si>
  <si>
    <t>A.1.5</t>
  </si>
  <si>
    <t>Secretariado</t>
  </si>
  <si>
    <t>A.1.6</t>
  </si>
  <si>
    <t>Informatica</t>
  </si>
  <si>
    <t>A.1.7</t>
  </si>
  <si>
    <t>Administraçao</t>
  </si>
  <si>
    <t>A.1.8</t>
  </si>
  <si>
    <t>Auditorio</t>
  </si>
  <si>
    <t>* Considerando pela seçao 412 do RIEBT que o IP mibimo é sempre IP2X</t>
  </si>
  <si>
    <t>Nº</t>
  </si>
  <si>
    <t>Alimentação [V]</t>
  </si>
  <si>
    <r>
      <t>Potência(</t>
    </r>
    <r>
      <rPr>
        <b/>
        <sz val="14"/>
        <color rgb="FF000000"/>
        <rFont val="Calibri"/>
        <family val="2"/>
      </rPr>
      <t>P</t>
    </r>
    <r>
      <rPr>
        <b/>
        <sz val="11"/>
        <color rgb="FF000000"/>
        <rFont val="Calibri"/>
        <family val="2"/>
      </rPr>
      <t>útil)</t>
    </r>
  </si>
  <si>
    <t>FP</t>
  </si>
  <si>
    <t>x(mm)</t>
  </si>
  <si>
    <t>y(mm)</t>
  </si>
  <si>
    <t>xi*Pi</t>
  </si>
  <si>
    <t>yi*Pi</t>
  </si>
  <si>
    <t>S [KVA]</t>
  </si>
  <si>
    <t>Q[KVAR]</t>
  </si>
  <si>
    <t>Equipamentos Portateis</t>
  </si>
  <si>
    <t>Kw</t>
  </si>
  <si>
    <t>P/unidade</t>
  </si>
  <si>
    <t>Berbequim</t>
  </si>
  <si>
    <t>Rebarbadora</t>
  </si>
  <si>
    <t>Soldadora Portatil</t>
  </si>
  <si>
    <t>Maquina da café</t>
  </si>
  <si>
    <t>Computador</t>
  </si>
  <si>
    <t>Fotocopiadora</t>
  </si>
  <si>
    <t xml:space="preserve">Berbequim de Coluna </t>
  </si>
  <si>
    <t>Serra de esquadria</t>
  </si>
  <si>
    <t>TOTAL:</t>
  </si>
  <si>
    <t>Frigorifico</t>
  </si>
  <si>
    <t>Posiçao do quadro</t>
  </si>
  <si>
    <t>Micro-Ondas</t>
  </si>
  <si>
    <t xml:space="preserve">Termo Acumulador </t>
  </si>
  <si>
    <t>Secador de Maos</t>
  </si>
  <si>
    <t>Maquina de lavar louça</t>
  </si>
  <si>
    <t>KVA</t>
  </si>
  <si>
    <t>Zona</t>
  </si>
  <si>
    <t>Área(m2)</t>
  </si>
  <si>
    <t>Carga Termica</t>
  </si>
  <si>
    <t>Potência Eletrica  [VA/m2]</t>
  </si>
  <si>
    <t>Potência a instalar [KVA]</t>
  </si>
  <si>
    <t>[BTU/hm2]</t>
  </si>
  <si>
    <t>[kcal/hm2]</t>
  </si>
  <si>
    <t>Total</t>
  </si>
  <si>
    <t>Iluminação e Tomadas de Uso geral</t>
  </si>
  <si>
    <t>Piso</t>
  </si>
  <si>
    <t>Potência especifica [VA/(m2)]</t>
  </si>
  <si>
    <t>Total:</t>
  </si>
  <si>
    <t>Potência Previsivel [kVA]</t>
  </si>
  <si>
    <t>Ku</t>
  </si>
  <si>
    <t>Ks</t>
  </si>
  <si>
    <t>Ke</t>
  </si>
  <si>
    <t>PT escolhido [kVA]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</si>
</sst>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BDBDB"/>
        <bgColor rgb="FFDBDBDB"/>
      </patternFill>
    </fill>
    <fill>
      <patternFill patternType="solid">
        <fgColor rgb="FFFFFF66"/>
        <bgColor rgb="FFFFFF66"/>
      </patternFill>
    </fill>
    <fill>
      <patternFill patternType="solid">
        <fgColor rgb="FFB4C6E7"/>
        <bgColor rgb="FFB4C6E7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9C9C9"/>
        <bgColor rgb="FFC9C9C9"/>
      </patternFill>
    </fill>
    <fill>
      <patternFill patternType="solid">
        <fgColor rgb="FFBFBFBF"/>
        <bgColor rgb="FFBFBFBF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ashed">
        <color rgb="FF000000"/>
      </bottom>
      <diagonal/>
    </border>
    <border>
      <left style="medium">
        <color rgb="FF000000"/>
      </left>
      <right style="medium">
        <color rgb="FF000000"/>
      </right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/>
      <top style="dashed">
        <color rgb="FF000000"/>
      </top>
      <bottom style="medium">
        <color rgb="FF000000"/>
      </bottom>
      <diagonal/>
    </border>
    <border>
      <left/>
      <right/>
      <top style="dash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ashed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E7E6E6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4" borderId="18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3" fillId="6" borderId="9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" fillId="0" borderId="35" xfId="1" applyNumberFormat="1" applyBorder="1"/>
    <xf numFmtId="164" fontId="0" fillId="0" borderId="35" xfId="0" applyNumberFormat="1" applyBorder="1" applyAlignment="1">
      <alignment horizontal="center"/>
    </xf>
    <xf numFmtId="164" fontId="0" fillId="7" borderId="35" xfId="0" applyNumberFormat="1" applyFill="1" applyBorder="1" applyAlignment="1">
      <alignment horizontal="center"/>
    </xf>
    <xf numFmtId="0" fontId="0" fillId="0" borderId="35" xfId="0" applyBorder="1"/>
    <xf numFmtId="0" fontId="0" fillId="0" borderId="15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3" fillId="6" borderId="35" xfId="0" applyFont="1" applyFill="1" applyBorder="1"/>
    <xf numFmtId="0" fontId="0" fillId="6" borderId="35" xfId="0" applyFill="1" applyBorder="1"/>
    <xf numFmtId="164" fontId="0" fillId="6" borderId="35" xfId="0" applyNumberFormat="1" applyFill="1" applyBorder="1" applyAlignment="1">
      <alignment horizontal="center" vertical="center"/>
    </xf>
    <xf numFmtId="0" fontId="3" fillId="6" borderId="36" xfId="0" applyFont="1" applyFill="1" applyBorder="1"/>
    <xf numFmtId="0" fontId="0" fillId="6" borderId="37" xfId="0" applyFill="1" applyBorder="1"/>
    <xf numFmtId="0" fontId="0" fillId="6" borderId="38" xfId="0" applyFill="1" applyBorder="1"/>
    <xf numFmtId="0" fontId="0" fillId="0" borderId="30" xfId="0" applyFill="1" applyBorder="1" applyAlignment="1">
      <alignment horizontal="center"/>
    </xf>
    <xf numFmtId="0" fontId="3" fillId="6" borderId="2" xfId="0" applyFont="1" applyFill="1" applyBorder="1"/>
    <xf numFmtId="164" fontId="0" fillId="7" borderId="40" xfId="0" applyNumberFormat="1" applyFill="1" applyBorder="1"/>
    <xf numFmtId="0" fontId="0" fillId="0" borderId="41" xfId="0" applyBorder="1"/>
    <xf numFmtId="0" fontId="3" fillId="8" borderId="30" xfId="0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/>
    </xf>
    <xf numFmtId="0" fontId="0" fillId="7" borderId="1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/>
    </xf>
    <xf numFmtId="0" fontId="0" fillId="0" borderId="15" xfId="0" applyBorder="1"/>
    <xf numFmtId="0" fontId="0" fillId="8" borderId="14" xfId="0" applyFill="1" applyBorder="1" applyAlignment="1">
      <alignment horizontal="center"/>
    </xf>
    <xf numFmtId="0" fontId="0" fillId="7" borderId="1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/>
    </xf>
    <xf numFmtId="0" fontId="0" fillId="0" borderId="14" xfId="0" applyBorder="1"/>
    <xf numFmtId="0" fontId="0" fillId="8" borderId="3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/>
    </xf>
    <xf numFmtId="0" fontId="0" fillId="0" borderId="30" xfId="0" applyBorder="1"/>
    <xf numFmtId="0" fontId="0" fillId="9" borderId="1" xfId="0" applyFill="1" applyBorder="1"/>
    <xf numFmtId="0" fontId="0" fillId="0" borderId="1" xfId="0" applyBorder="1"/>
    <xf numFmtId="0" fontId="0" fillId="8" borderId="9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8" borderId="2" xfId="0" applyFont="1" applyFill="1" applyBorder="1"/>
    <xf numFmtId="0" fontId="0" fillId="7" borderId="40" xfId="0" applyFill="1" applyBorder="1" applyAlignment="1">
      <alignment horizontal="center"/>
    </xf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9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39" xfId="0" applyFill="1" applyBorder="1"/>
    <xf numFmtId="0" fontId="0" fillId="0" borderId="35" xfId="0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3" fillId="6" borderId="3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35" xfId="0" applyFont="1" applyFill="1" applyBorder="1" applyAlignment="1">
      <alignment horizontal="center" vertical="center"/>
    </xf>
    <xf numFmtId="0" fontId="0" fillId="7" borderId="35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/>
    <xf numFmtId="0" fontId="3" fillId="6" borderId="34" xfId="0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3" fillId="9" borderId="42" xfId="0" applyFont="1" applyFill="1" applyBorder="1" applyAlignment="1">
      <alignment horizontal="center"/>
    </xf>
  </cellXfs>
  <cellStyles count="2">
    <cellStyle name="Normal" xfId="0" builtinId="0" customBuiltin="1"/>
    <cellStyle name="Percentagem" xfId="1" builtinId="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37"/>
  <sheetViews>
    <sheetView workbookViewId="0"/>
  </sheetViews>
  <sheetFormatPr defaultRowHeight="15" x14ac:dyDescent="0.25"/>
  <cols>
    <col min="1" max="2" width="9.140625" customWidth="1"/>
    <col min="3" max="3" width="13" customWidth="1"/>
    <col min="4" max="4" width="11.7109375" customWidth="1"/>
    <col min="5" max="5" width="9.140625" customWidth="1"/>
    <col min="6" max="6" width="11.7109375" bestFit="1" customWidth="1"/>
    <col min="7" max="7" width="9.140625" customWidth="1"/>
  </cols>
  <sheetData>
    <row r="2" spans="2:32" ht="15.75" x14ac:dyDescent="0.25">
      <c r="B2" s="1" t="s">
        <v>0</v>
      </c>
    </row>
    <row r="5" spans="2:32" ht="15.75" thickBot="1" x14ac:dyDescent="0.3"/>
    <row r="6" spans="2:32" ht="15.75" thickBot="1" x14ac:dyDescent="0.3">
      <c r="B6" s="93" t="s">
        <v>1</v>
      </c>
      <c r="C6" s="93"/>
      <c r="D6" s="93"/>
      <c r="E6" s="94" t="s">
        <v>2</v>
      </c>
      <c r="F6" s="94" t="s">
        <v>3</v>
      </c>
      <c r="G6" s="95" t="s">
        <v>4</v>
      </c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6" t="s">
        <v>5</v>
      </c>
      <c r="AF6" s="96"/>
    </row>
    <row r="7" spans="2:32" ht="15.75" thickBot="1" x14ac:dyDescent="0.3">
      <c r="B7" s="93"/>
      <c r="C7" s="93"/>
      <c r="D7" s="93"/>
      <c r="E7" s="94"/>
      <c r="F7" s="94"/>
      <c r="G7" s="2" t="s">
        <v>6</v>
      </c>
      <c r="H7" s="3" t="s">
        <v>7</v>
      </c>
      <c r="I7" s="3" t="s">
        <v>8</v>
      </c>
      <c r="J7" s="4" t="s">
        <v>9</v>
      </c>
      <c r="K7" s="4" t="s">
        <v>10</v>
      </c>
      <c r="L7" s="4" t="s">
        <v>11</v>
      </c>
      <c r="M7" s="4" t="s">
        <v>12</v>
      </c>
      <c r="N7" s="4" t="s">
        <v>13</v>
      </c>
      <c r="O7" s="4" t="s">
        <v>14</v>
      </c>
      <c r="P7" s="4" t="s">
        <v>15</v>
      </c>
      <c r="Q7" s="4" t="s">
        <v>16</v>
      </c>
      <c r="R7" s="4" t="s">
        <v>17</v>
      </c>
      <c r="S7" s="4" t="s">
        <v>18</v>
      </c>
      <c r="T7" s="4" t="s">
        <v>19</v>
      </c>
      <c r="U7" s="4" t="s">
        <v>20</v>
      </c>
      <c r="V7" s="4" t="s">
        <v>21</v>
      </c>
      <c r="W7" s="4" t="s">
        <v>22</v>
      </c>
      <c r="X7" s="4" t="s">
        <v>23</v>
      </c>
      <c r="Y7" s="4" t="s">
        <v>24</v>
      </c>
      <c r="Z7" s="4" t="s">
        <v>25</v>
      </c>
      <c r="AA7" s="4" t="s">
        <v>26</v>
      </c>
      <c r="AB7" s="5" t="s">
        <v>27</v>
      </c>
      <c r="AC7" s="5" t="s">
        <v>28</v>
      </c>
      <c r="AD7" s="6" t="s">
        <v>29</v>
      </c>
      <c r="AE7" s="7" t="s">
        <v>30</v>
      </c>
      <c r="AF7" s="8" t="s">
        <v>31</v>
      </c>
    </row>
    <row r="8" spans="2:32" x14ac:dyDescent="0.25">
      <c r="B8" s="9" t="s">
        <v>32</v>
      </c>
      <c r="C8" s="97" t="s">
        <v>33</v>
      </c>
      <c r="D8" s="97"/>
      <c r="E8" s="10">
        <v>1</v>
      </c>
      <c r="F8" s="10">
        <v>18.862500000000001</v>
      </c>
      <c r="G8" s="11">
        <v>4</v>
      </c>
      <c r="H8" s="12">
        <v>4</v>
      </c>
      <c r="I8" s="12">
        <v>1</v>
      </c>
      <c r="J8" s="12">
        <v>1</v>
      </c>
      <c r="K8" s="12">
        <v>5</v>
      </c>
      <c r="L8" s="12">
        <v>1</v>
      </c>
      <c r="M8" s="12">
        <v>1</v>
      </c>
      <c r="N8" s="12">
        <v>1</v>
      </c>
      <c r="O8" s="12" t="s">
        <v>34</v>
      </c>
      <c r="P8" s="12">
        <v>1</v>
      </c>
      <c r="Q8" s="12">
        <v>1</v>
      </c>
      <c r="R8" s="12">
        <v>1</v>
      </c>
      <c r="S8" s="12">
        <v>1</v>
      </c>
      <c r="T8" s="12">
        <v>1</v>
      </c>
      <c r="U8" s="12">
        <v>1</v>
      </c>
      <c r="V8" s="12" t="s">
        <v>34</v>
      </c>
      <c r="W8" s="12" t="s">
        <v>34</v>
      </c>
      <c r="X8" s="12">
        <v>1</v>
      </c>
      <c r="Y8" s="12">
        <v>1</v>
      </c>
      <c r="Z8" s="12">
        <v>2</v>
      </c>
      <c r="AA8" s="12">
        <v>2</v>
      </c>
      <c r="AB8" s="12">
        <v>1</v>
      </c>
      <c r="AC8" s="12">
        <v>1</v>
      </c>
      <c r="AD8" s="12">
        <v>1</v>
      </c>
      <c r="AE8" s="13" t="s">
        <v>35</v>
      </c>
      <c r="AF8" s="14" t="s">
        <v>36</v>
      </c>
    </row>
    <row r="9" spans="2:32" x14ac:dyDescent="0.25">
      <c r="B9" s="15" t="s">
        <v>37</v>
      </c>
      <c r="C9" s="88" t="s">
        <v>38</v>
      </c>
      <c r="D9" s="88"/>
      <c r="E9" s="16">
        <v>1</v>
      </c>
      <c r="F9" s="17">
        <v>2.88</v>
      </c>
      <c r="G9" s="18">
        <v>4</v>
      </c>
      <c r="H9" s="19">
        <v>4</v>
      </c>
      <c r="I9" s="19">
        <v>1</v>
      </c>
      <c r="J9" s="19">
        <v>1</v>
      </c>
      <c r="K9" s="19">
        <v>4</v>
      </c>
      <c r="L9" s="19">
        <v>1</v>
      </c>
      <c r="M9" s="19">
        <v>1</v>
      </c>
      <c r="N9" s="19">
        <v>1</v>
      </c>
      <c r="O9" s="19" t="s">
        <v>34</v>
      </c>
      <c r="P9" s="19">
        <v>1</v>
      </c>
      <c r="Q9" s="19">
        <v>1</v>
      </c>
      <c r="R9" s="19">
        <v>1</v>
      </c>
      <c r="S9" s="19">
        <v>1</v>
      </c>
      <c r="T9" s="19">
        <v>1</v>
      </c>
      <c r="U9" s="19">
        <v>1</v>
      </c>
      <c r="V9" s="19" t="s">
        <v>34</v>
      </c>
      <c r="W9" s="19" t="s">
        <v>34</v>
      </c>
      <c r="X9" s="19">
        <v>1</v>
      </c>
      <c r="Y9" s="19">
        <v>1</v>
      </c>
      <c r="Z9" s="19">
        <v>1</v>
      </c>
      <c r="AA9" s="19">
        <v>1</v>
      </c>
      <c r="AB9" s="20">
        <v>1</v>
      </c>
      <c r="AC9" s="20">
        <v>1</v>
      </c>
      <c r="AD9" s="20">
        <v>1</v>
      </c>
      <c r="AE9" s="21" t="s">
        <v>39</v>
      </c>
      <c r="AF9" s="22" t="s">
        <v>36</v>
      </c>
    </row>
    <row r="10" spans="2:32" x14ac:dyDescent="0.25">
      <c r="B10" s="15" t="s">
        <v>40</v>
      </c>
      <c r="C10" s="88" t="s">
        <v>41</v>
      </c>
      <c r="D10" s="88"/>
      <c r="E10" s="16">
        <v>1</v>
      </c>
      <c r="F10" s="23">
        <v>3.9775</v>
      </c>
      <c r="G10" s="18">
        <v>4</v>
      </c>
      <c r="H10" s="19">
        <v>4</v>
      </c>
      <c r="I10" s="19">
        <v>1</v>
      </c>
      <c r="J10" s="19">
        <v>1</v>
      </c>
      <c r="K10" s="19">
        <v>3</v>
      </c>
      <c r="L10" s="19">
        <v>1</v>
      </c>
      <c r="M10" s="19">
        <v>1</v>
      </c>
      <c r="N10" s="19">
        <v>1</v>
      </c>
      <c r="O10" s="19" t="s">
        <v>34</v>
      </c>
      <c r="P10" s="19">
        <v>1</v>
      </c>
      <c r="Q10" s="19">
        <v>1</v>
      </c>
      <c r="R10" s="19">
        <v>1</v>
      </c>
      <c r="S10" s="19">
        <v>1</v>
      </c>
      <c r="T10" s="19">
        <v>1</v>
      </c>
      <c r="U10" s="19">
        <v>1</v>
      </c>
      <c r="V10" s="19" t="s">
        <v>34</v>
      </c>
      <c r="W10" s="19" t="s">
        <v>34</v>
      </c>
      <c r="X10" s="19">
        <v>1</v>
      </c>
      <c r="Y10" s="19">
        <v>1</v>
      </c>
      <c r="Z10" s="19">
        <v>1</v>
      </c>
      <c r="AA10" s="19">
        <v>1</v>
      </c>
      <c r="AB10" s="19">
        <v>1</v>
      </c>
      <c r="AC10" s="20">
        <v>1</v>
      </c>
      <c r="AD10" s="20">
        <v>1</v>
      </c>
      <c r="AE10" s="21" t="s">
        <v>42</v>
      </c>
      <c r="AF10" s="22" t="s">
        <v>36</v>
      </c>
    </row>
    <row r="11" spans="2:32" x14ac:dyDescent="0.25">
      <c r="B11" s="90" t="s">
        <v>43</v>
      </c>
      <c r="C11" s="91" t="s">
        <v>44</v>
      </c>
      <c r="D11" s="24" t="s">
        <v>45</v>
      </c>
      <c r="E11" s="16" t="s">
        <v>46</v>
      </c>
      <c r="F11" s="92">
        <v>18.052700000000002</v>
      </c>
      <c r="G11" s="25" t="s">
        <v>46</v>
      </c>
      <c r="H11" s="26" t="s">
        <v>46</v>
      </c>
      <c r="I11" s="19" t="s">
        <v>46</v>
      </c>
      <c r="J11" s="19" t="s">
        <v>46</v>
      </c>
      <c r="K11" s="19" t="s">
        <v>46</v>
      </c>
      <c r="L11" s="19" t="s">
        <v>46</v>
      </c>
      <c r="M11" s="19" t="s">
        <v>46</v>
      </c>
      <c r="N11" s="19" t="s">
        <v>46</v>
      </c>
      <c r="O11" s="19" t="s">
        <v>46</v>
      </c>
      <c r="P11" s="19" t="s">
        <v>46</v>
      </c>
      <c r="Q11" s="19" t="s">
        <v>46</v>
      </c>
      <c r="R11" s="19" t="s">
        <v>46</v>
      </c>
      <c r="S11" s="19" t="s">
        <v>46</v>
      </c>
      <c r="T11" s="19" t="s">
        <v>46</v>
      </c>
      <c r="U11" s="19" t="s">
        <v>46</v>
      </c>
      <c r="V11" s="19" t="s">
        <v>46</v>
      </c>
      <c r="W11" s="19" t="s">
        <v>46</v>
      </c>
      <c r="X11" s="19" t="s">
        <v>46</v>
      </c>
      <c r="Y11" s="19" t="s">
        <v>46</v>
      </c>
      <c r="Z11" s="19" t="s">
        <v>46</v>
      </c>
      <c r="AA11" s="19" t="s">
        <v>46</v>
      </c>
      <c r="AB11" s="27" t="s">
        <v>46</v>
      </c>
      <c r="AC11" s="27" t="s">
        <v>46</v>
      </c>
      <c r="AD11" s="28" t="s">
        <v>46</v>
      </c>
      <c r="AE11" s="29" t="s">
        <v>46</v>
      </c>
      <c r="AF11" s="30" t="s">
        <v>46</v>
      </c>
    </row>
    <row r="12" spans="2:32" x14ac:dyDescent="0.25">
      <c r="B12" s="90"/>
      <c r="C12" s="91"/>
      <c r="D12" s="24" t="s">
        <v>47</v>
      </c>
      <c r="E12" s="16" t="s">
        <v>46</v>
      </c>
      <c r="F12" s="92"/>
      <c r="G12" s="18">
        <v>4</v>
      </c>
      <c r="H12" s="19">
        <v>4</v>
      </c>
      <c r="I12" s="19">
        <v>1</v>
      </c>
      <c r="J12" s="19">
        <v>7</v>
      </c>
      <c r="K12" s="19">
        <v>1</v>
      </c>
      <c r="L12" s="19">
        <v>1</v>
      </c>
      <c r="M12" s="19">
        <v>1</v>
      </c>
      <c r="N12" s="19">
        <v>1</v>
      </c>
      <c r="O12" s="19" t="s">
        <v>34</v>
      </c>
      <c r="P12" s="19">
        <v>1</v>
      </c>
      <c r="Q12" s="19">
        <v>1</v>
      </c>
      <c r="R12" s="19">
        <v>1</v>
      </c>
      <c r="S12" s="19">
        <v>1</v>
      </c>
      <c r="T12" s="19">
        <v>1</v>
      </c>
      <c r="U12" s="19">
        <v>1</v>
      </c>
      <c r="V12" s="19" t="s">
        <v>34</v>
      </c>
      <c r="W12" s="19" t="s">
        <v>34</v>
      </c>
      <c r="X12" s="19">
        <v>1</v>
      </c>
      <c r="Y12" s="19">
        <v>3</v>
      </c>
      <c r="Z12" s="19">
        <v>3</v>
      </c>
      <c r="AA12" s="19">
        <v>1</v>
      </c>
      <c r="AB12" s="20">
        <v>1</v>
      </c>
      <c r="AC12" s="20">
        <v>1</v>
      </c>
      <c r="AD12" s="31">
        <v>1</v>
      </c>
      <c r="AE12" s="21" t="s">
        <v>48</v>
      </c>
      <c r="AF12" s="22" t="s">
        <v>36</v>
      </c>
    </row>
    <row r="13" spans="2:32" x14ac:dyDescent="0.25">
      <c r="B13" s="90"/>
      <c r="C13" s="91"/>
      <c r="D13" s="24" t="s">
        <v>49</v>
      </c>
      <c r="E13" s="16" t="s">
        <v>46</v>
      </c>
      <c r="F13" s="92">
        <v>14.113899999999999</v>
      </c>
      <c r="G13" s="18">
        <v>4</v>
      </c>
      <c r="H13" s="19">
        <v>4</v>
      </c>
      <c r="I13" s="19">
        <v>1</v>
      </c>
      <c r="J13" s="19">
        <v>4</v>
      </c>
      <c r="K13" s="19">
        <v>1</v>
      </c>
      <c r="L13" s="19">
        <v>1</v>
      </c>
      <c r="M13" s="19">
        <v>1</v>
      </c>
      <c r="N13" s="19">
        <v>1</v>
      </c>
      <c r="O13" s="19" t="s">
        <v>34</v>
      </c>
      <c r="P13" s="19">
        <v>1</v>
      </c>
      <c r="Q13" s="19">
        <v>1</v>
      </c>
      <c r="R13" s="19">
        <v>1</v>
      </c>
      <c r="S13" s="19">
        <v>1</v>
      </c>
      <c r="T13" s="19">
        <v>1</v>
      </c>
      <c r="U13" s="19">
        <v>1</v>
      </c>
      <c r="V13" s="19" t="s">
        <v>34</v>
      </c>
      <c r="W13" s="19" t="s">
        <v>34</v>
      </c>
      <c r="X13" s="19">
        <v>1</v>
      </c>
      <c r="Y13" s="19">
        <v>3</v>
      </c>
      <c r="Z13" s="19">
        <v>3</v>
      </c>
      <c r="AA13" s="19">
        <v>1</v>
      </c>
      <c r="AB13" s="20">
        <v>1</v>
      </c>
      <c r="AC13" s="20">
        <v>1</v>
      </c>
      <c r="AD13" s="20">
        <v>1</v>
      </c>
      <c r="AE13" s="21" t="s">
        <v>50</v>
      </c>
      <c r="AF13" s="22" t="s">
        <v>36</v>
      </c>
    </row>
    <row r="14" spans="2:32" x14ac:dyDescent="0.25">
      <c r="B14" s="90"/>
      <c r="C14" s="91"/>
      <c r="D14" s="24" t="s">
        <v>51</v>
      </c>
      <c r="E14" s="16" t="s">
        <v>46</v>
      </c>
      <c r="F14" s="92"/>
      <c r="G14" s="18">
        <v>4</v>
      </c>
      <c r="H14" s="19">
        <v>4</v>
      </c>
      <c r="I14" s="19">
        <v>1</v>
      </c>
      <c r="J14" s="19">
        <v>3</v>
      </c>
      <c r="K14" s="19">
        <v>1</v>
      </c>
      <c r="L14" s="19">
        <v>1</v>
      </c>
      <c r="M14" s="19">
        <v>1</v>
      </c>
      <c r="N14" s="19">
        <v>1</v>
      </c>
      <c r="O14" s="19" t="s">
        <v>34</v>
      </c>
      <c r="P14" s="19">
        <v>1</v>
      </c>
      <c r="Q14" s="19">
        <v>1</v>
      </c>
      <c r="R14" s="19">
        <v>1</v>
      </c>
      <c r="S14" s="19">
        <v>1</v>
      </c>
      <c r="T14" s="19">
        <v>1</v>
      </c>
      <c r="U14" s="19">
        <v>1</v>
      </c>
      <c r="V14" s="19" t="s">
        <v>34</v>
      </c>
      <c r="W14" s="19" t="s">
        <v>34</v>
      </c>
      <c r="X14" s="19">
        <v>1</v>
      </c>
      <c r="Y14" s="19">
        <v>2</v>
      </c>
      <c r="Z14" s="19">
        <v>3</v>
      </c>
      <c r="AA14" s="19">
        <v>1</v>
      </c>
      <c r="AB14" s="20">
        <v>1</v>
      </c>
      <c r="AC14" s="20">
        <v>1</v>
      </c>
      <c r="AD14" s="20">
        <v>1</v>
      </c>
      <c r="AE14" s="21" t="s">
        <v>52</v>
      </c>
      <c r="AF14" s="32" t="s">
        <v>36</v>
      </c>
    </row>
    <row r="15" spans="2:32" x14ac:dyDescent="0.25">
      <c r="B15" s="15" t="s">
        <v>53</v>
      </c>
      <c r="C15" s="89" t="s">
        <v>54</v>
      </c>
      <c r="D15" s="89"/>
      <c r="E15" s="16">
        <v>2</v>
      </c>
      <c r="F15" s="17">
        <v>10.1221</v>
      </c>
      <c r="G15" s="18">
        <v>4</v>
      </c>
      <c r="H15" s="19">
        <v>4</v>
      </c>
      <c r="I15" s="19">
        <v>1</v>
      </c>
      <c r="J15" s="19">
        <v>1</v>
      </c>
      <c r="K15" s="19">
        <v>1</v>
      </c>
      <c r="L15" s="19">
        <v>1</v>
      </c>
      <c r="M15" s="19">
        <v>1</v>
      </c>
      <c r="N15" s="19">
        <v>1</v>
      </c>
      <c r="O15" s="19" t="s">
        <v>34</v>
      </c>
      <c r="P15" s="19">
        <v>1</v>
      </c>
      <c r="Q15" s="19">
        <v>1</v>
      </c>
      <c r="R15" s="19">
        <v>1</v>
      </c>
      <c r="S15" s="19">
        <v>1</v>
      </c>
      <c r="T15" s="19">
        <v>1</v>
      </c>
      <c r="U15" s="19">
        <v>1</v>
      </c>
      <c r="V15" s="19" t="s">
        <v>34</v>
      </c>
      <c r="W15" s="19" t="s">
        <v>34</v>
      </c>
      <c r="X15" s="19">
        <v>1</v>
      </c>
      <c r="Y15" s="19">
        <v>1</v>
      </c>
      <c r="Z15" s="19">
        <v>1</v>
      </c>
      <c r="AA15" s="19">
        <v>1</v>
      </c>
      <c r="AB15" s="20">
        <v>1</v>
      </c>
      <c r="AC15" s="20">
        <v>1</v>
      </c>
      <c r="AD15" s="33">
        <v>1</v>
      </c>
      <c r="AE15" s="21" t="s">
        <v>55</v>
      </c>
      <c r="AF15" s="32" t="s">
        <v>36</v>
      </c>
    </row>
    <row r="16" spans="2:32" x14ac:dyDescent="0.25">
      <c r="B16" s="15" t="s">
        <v>56</v>
      </c>
      <c r="C16" s="88" t="s">
        <v>57</v>
      </c>
      <c r="D16" s="88"/>
      <c r="E16" s="16">
        <v>1</v>
      </c>
      <c r="F16" s="17">
        <v>2.7105000000000001</v>
      </c>
      <c r="G16" s="18">
        <v>4</v>
      </c>
      <c r="H16" s="19">
        <v>4</v>
      </c>
      <c r="I16" s="19">
        <v>1</v>
      </c>
      <c r="J16" s="19">
        <v>1</v>
      </c>
      <c r="K16" s="19">
        <v>3</v>
      </c>
      <c r="L16" s="19">
        <v>3</v>
      </c>
      <c r="M16" s="19">
        <v>1</v>
      </c>
      <c r="N16" s="19">
        <v>1</v>
      </c>
      <c r="O16" s="19" t="s">
        <v>34</v>
      </c>
      <c r="P16" s="19">
        <v>1</v>
      </c>
      <c r="Q16" s="19">
        <v>1</v>
      </c>
      <c r="R16" s="19">
        <v>1</v>
      </c>
      <c r="S16" s="19">
        <v>1</v>
      </c>
      <c r="T16" s="19">
        <v>1</v>
      </c>
      <c r="U16" s="19">
        <v>1</v>
      </c>
      <c r="V16" s="19" t="s">
        <v>34</v>
      </c>
      <c r="W16" s="19" t="s">
        <v>34</v>
      </c>
      <c r="X16" s="19">
        <v>1</v>
      </c>
      <c r="Y16" s="19">
        <v>1</v>
      </c>
      <c r="Z16" s="19">
        <v>1</v>
      </c>
      <c r="AA16" s="19">
        <v>1</v>
      </c>
      <c r="AB16" s="20">
        <v>1</v>
      </c>
      <c r="AC16" s="20">
        <v>1</v>
      </c>
      <c r="AD16" s="31">
        <v>1</v>
      </c>
      <c r="AE16" s="21" t="s">
        <v>42</v>
      </c>
      <c r="AF16" s="32" t="s">
        <v>36</v>
      </c>
    </row>
    <row r="17" spans="2:32" x14ac:dyDescent="0.25">
      <c r="B17" s="15" t="s">
        <v>58</v>
      </c>
      <c r="C17" s="88" t="s">
        <v>59</v>
      </c>
      <c r="D17" s="88"/>
      <c r="E17" s="16">
        <v>1</v>
      </c>
      <c r="F17" s="17">
        <v>38.844999999999999</v>
      </c>
      <c r="G17" s="18">
        <v>4</v>
      </c>
      <c r="H17" s="19">
        <v>4</v>
      </c>
      <c r="I17" s="19">
        <v>1</v>
      </c>
      <c r="J17" s="19">
        <v>1</v>
      </c>
      <c r="K17" s="19">
        <v>1</v>
      </c>
      <c r="L17" s="19">
        <v>1</v>
      </c>
      <c r="M17" s="19">
        <v>1</v>
      </c>
      <c r="N17" s="19">
        <v>1</v>
      </c>
      <c r="O17" s="19" t="s">
        <v>34</v>
      </c>
      <c r="P17" s="19">
        <v>1</v>
      </c>
      <c r="Q17" s="19">
        <v>1</v>
      </c>
      <c r="R17" s="19">
        <v>1</v>
      </c>
      <c r="S17" s="19">
        <v>1</v>
      </c>
      <c r="T17" s="19">
        <v>1</v>
      </c>
      <c r="U17" s="19">
        <v>1</v>
      </c>
      <c r="V17" s="19" t="s">
        <v>34</v>
      </c>
      <c r="W17" s="19" t="s">
        <v>34</v>
      </c>
      <c r="X17" s="19">
        <v>1</v>
      </c>
      <c r="Y17" s="19">
        <v>1</v>
      </c>
      <c r="Z17" s="19">
        <v>2</v>
      </c>
      <c r="AA17" s="19">
        <v>1</v>
      </c>
      <c r="AB17" s="20">
        <v>1</v>
      </c>
      <c r="AC17" s="20">
        <v>1</v>
      </c>
      <c r="AD17" s="31">
        <v>1</v>
      </c>
      <c r="AE17" s="21" t="s">
        <v>55</v>
      </c>
      <c r="AF17" s="32" t="s">
        <v>36</v>
      </c>
    </row>
    <row r="18" spans="2:32" x14ac:dyDescent="0.25">
      <c r="B18" s="15" t="s">
        <v>60</v>
      </c>
      <c r="C18" s="88" t="s">
        <v>61</v>
      </c>
      <c r="D18" s="88"/>
      <c r="E18" s="16">
        <v>1</v>
      </c>
      <c r="F18" s="17">
        <v>15.4275</v>
      </c>
      <c r="G18" s="18">
        <v>4</v>
      </c>
      <c r="H18" s="19">
        <v>4</v>
      </c>
      <c r="I18" s="19">
        <v>1</v>
      </c>
      <c r="J18" s="19">
        <v>1</v>
      </c>
      <c r="K18" s="19">
        <v>1</v>
      </c>
      <c r="L18" s="19">
        <v>1</v>
      </c>
      <c r="M18" s="19">
        <v>1</v>
      </c>
      <c r="N18" s="19">
        <v>1</v>
      </c>
      <c r="O18" s="19" t="s">
        <v>34</v>
      </c>
      <c r="P18" s="19">
        <v>1</v>
      </c>
      <c r="Q18" s="19">
        <v>1</v>
      </c>
      <c r="R18" s="19">
        <v>1</v>
      </c>
      <c r="S18" s="19">
        <v>1</v>
      </c>
      <c r="T18" s="19">
        <v>1</v>
      </c>
      <c r="U18" s="19">
        <v>1</v>
      </c>
      <c r="V18" s="19" t="s">
        <v>34</v>
      </c>
      <c r="W18" s="19" t="s">
        <v>34</v>
      </c>
      <c r="X18" s="19">
        <v>4</v>
      </c>
      <c r="Y18" s="19">
        <v>1</v>
      </c>
      <c r="Z18" s="19">
        <v>2</v>
      </c>
      <c r="AA18" s="19">
        <v>1</v>
      </c>
      <c r="AB18" s="20">
        <v>1</v>
      </c>
      <c r="AC18" s="20">
        <v>1</v>
      </c>
      <c r="AD18" s="31">
        <v>1</v>
      </c>
      <c r="AE18" s="21" t="s">
        <v>55</v>
      </c>
      <c r="AF18" s="32" t="s">
        <v>36</v>
      </c>
    </row>
    <row r="19" spans="2:32" x14ac:dyDescent="0.25">
      <c r="B19" s="15" t="s">
        <v>62</v>
      </c>
      <c r="C19" s="88" t="s">
        <v>63</v>
      </c>
      <c r="D19" s="88"/>
      <c r="E19" s="16">
        <v>1</v>
      </c>
      <c r="F19" s="17">
        <v>35.271000000000001</v>
      </c>
      <c r="G19" s="18">
        <v>4</v>
      </c>
      <c r="H19" s="19">
        <v>4</v>
      </c>
      <c r="I19" s="19">
        <v>1</v>
      </c>
      <c r="J19" s="19">
        <v>1</v>
      </c>
      <c r="K19" s="19">
        <v>3</v>
      </c>
      <c r="L19" s="19">
        <v>4</v>
      </c>
      <c r="M19" s="19">
        <v>2</v>
      </c>
      <c r="N19" s="19">
        <v>1</v>
      </c>
      <c r="O19" s="19" t="s">
        <v>34</v>
      </c>
      <c r="P19" s="19">
        <v>1</v>
      </c>
      <c r="Q19" s="19">
        <v>1</v>
      </c>
      <c r="R19" s="19">
        <v>1</v>
      </c>
      <c r="S19" s="19">
        <v>1</v>
      </c>
      <c r="T19" s="19">
        <v>1</v>
      </c>
      <c r="U19" s="19">
        <v>1</v>
      </c>
      <c r="V19" s="19" t="s">
        <v>34</v>
      </c>
      <c r="W19" s="19" t="s">
        <v>34</v>
      </c>
      <c r="X19" s="19">
        <v>5</v>
      </c>
      <c r="Y19" s="19">
        <v>1</v>
      </c>
      <c r="Z19" s="19">
        <v>3</v>
      </c>
      <c r="AA19" s="19">
        <v>2</v>
      </c>
      <c r="AB19" s="20">
        <v>2</v>
      </c>
      <c r="AC19" s="20">
        <v>1</v>
      </c>
      <c r="AD19" s="31">
        <v>1</v>
      </c>
      <c r="AE19" s="21" t="s">
        <v>42</v>
      </c>
      <c r="AF19" s="32" t="s">
        <v>64</v>
      </c>
    </row>
    <row r="20" spans="2:32" x14ac:dyDescent="0.25">
      <c r="B20" s="15" t="s">
        <v>65</v>
      </c>
      <c r="C20" s="88" t="s">
        <v>66</v>
      </c>
      <c r="D20" s="88"/>
      <c r="E20" s="16">
        <v>1</v>
      </c>
      <c r="F20" s="17">
        <v>43.738500000000002</v>
      </c>
      <c r="G20" s="18">
        <v>4</v>
      </c>
      <c r="H20" s="19">
        <v>4</v>
      </c>
      <c r="I20" s="19">
        <v>1</v>
      </c>
      <c r="J20" s="19">
        <v>1</v>
      </c>
      <c r="K20" s="19">
        <v>5</v>
      </c>
      <c r="L20" s="19">
        <v>3</v>
      </c>
      <c r="M20" s="19">
        <v>2</v>
      </c>
      <c r="N20" s="19">
        <v>2</v>
      </c>
      <c r="O20" s="19" t="s">
        <v>34</v>
      </c>
      <c r="P20" s="19">
        <v>1</v>
      </c>
      <c r="Q20" s="19">
        <v>1</v>
      </c>
      <c r="R20" s="19">
        <v>1</v>
      </c>
      <c r="S20" s="19">
        <v>1</v>
      </c>
      <c r="T20" s="19">
        <v>1</v>
      </c>
      <c r="U20" s="19">
        <v>1</v>
      </c>
      <c r="V20" s="19" t="s">
        <v>34</v>
      </c>
      <c r="W20" s="19" t="s">
        <v>34</v>
      </c>
      <c r="X20" s="19">
        <v>4</v>
      </c>
      <c r="Y20" s="19">
        <v>1</v>
      </c>
      <c r="Z20" s="19">
        <v>4</v>
      </c>
      <c r="AA20" s="19">
        <v>2</v>
      </c>
      <c r="AB20" s="20">
        <v>2</v>
      </c>
      <c r="AC20" s="20">
        <v>1</v>
      </c>
      <c r="AD20" s="31">
        <v>1</v>
      </c>
      <c r="AE20" s="21" t="s">
        <v>35</v>
      </c>
      <c r="AF20" s="32" t="s">
        <v>64</v>
      </c>
    </row>
    <row r="21" spans="2:32" x14ac:dyDescent="0.25">
      <c r="B21" s="15" t="s">
        <v>67</v>
      </c>
      <c r="C21" s="88" t="s">
        <v>68</v>
      </c>
      <c r="D21" s="88"/>
      <c r="E21" s="16">
        <v>1</v>
      </c>
      <c r="F21" s="17">
        <v>55.150500000000001</v>
      </c>
      <c r="G21" s="18">
        <v>4</v>
      </c>
      <c r="H21" s="19">
        <v>4</v>
      </c>
      <c r="I21" s="19">
        <v>1</v>
      </c>
      <c r="J21" s="19">
        <v>1</v>
      </c>
      <c r="K21" s="19">
        <v>3</v>
      </c>
      <c r="L21" s="19">
        <v>1</v>
      </c>
      <c r="M21" s="19">
        <v>2</v>
      </c>
      <c r="N21" s="19">
        <v>1</v>
      </c>
      <c r="O21" s="19" t="s">
        <v>34</v>
      </c>
      <c r="P21" s="19">
        <v>1</v>
      </c>
      <c r="Q21" s="19">
        <v>1</v>
      </c>
      <c r="R21" s="19">
        <v>1</v>
      </c>
      <c r="S21" s="19">
        <v>1</v>
      </c>
      <c r="T21" s="19">
        <v>1</v>
      </c>
      <c r="U21" s="19">
        <v>1</v>
      </c>
      <c r="V21" s="19" t="s">
        <v>34</v>
      </c>
      <c r="W21" s="19" t="s">
        <v>34</v>
      </c>
      <c r="X21" s="19">
        <v>1</v>
      </c>
      <c r="Y21" s="19">
        <v>1</v>
      </c>
      <c r="Z21" s="19">
        <v>2</v>
      </c>
      <c r="AA21" s="19">
        <v>1</v>
      </c>
      <c r="AB21" s="20">
        <v>1</v>
      </c>
      <c r="AC21" s="20">
        <v>1</v>
      </c>
      <c r="AD21" s="31">
        <v>1</v>
      </c>
      <c r="AE21" s="21" t="s">
        <v>42</v>
      </c>
      <c r="AF21" s="32" t="s">
        <v>64</v>
      </c>
    </row>
    <row r="22" spans="2:32" x14ac:dyDescent="0.25">
      <c r="B22" s="15" t="s">
        <v>69</v>
      </c>
      <c r="C22" s="88" t="s">
        <v>70</v>
      </c>
      <c r="D22" s="88"/>
      <c r="E22" s="16">
        <v>1</v>
      </c>
      <c r="F22" s="17">
        <v>17.188500000000001</v>
      </c>
      <c r="G22" s="18">
        <v>4</v>
      </c>
      <c r="H22" s="19">
        <v>4</v>
      </c>
      <c r="I22" s="19">
        <v>1</v>
      </c>
      <c r="J22" s="19">
        <v>1</v>
      </c>
      <c r="K22" s="19">
        <v>3</v>
      </c>
      <c r="L22" s="19">
        <v>1</v>
      </c>
      <c r="M22" s="19">
        <v>2</v>
      </c>
      <c r="N22" s="19">
        <v>1</v>
      </c>
      <c r="O22" s="19" t="s">
        <v>34</v>
      </c>
      <c r="P22" s="19">
        <v>1</v>
      </c>
      <c r="Q22" s="19">
        <v>1</v>
      </c>
      <c r="R22" s="19">
        <v>1</v>
      </c>
      <c r="S22" s="19">
        <v>1</v>
      </c>
      <c r="T22" s="19">
        <v>1</v>
      </c>
      <c r="U22" s="19">
        <v>1</v>
      </c>
      <c r="V22" s="19" t="s">
        <v>34</v>
      </c>
      <c r="W22" s="19" t="s">
        <v>34</v>
      </c>
      <c r="X22" s="19">
        <v>5</v>
      </c>
      <c r="Y22" s="19">
        <v>1</v>
      </c>
      <c r="Z22" s="19">
        <v>4</v>
      </c>
      <c r="AA22" s="19">
        <v>2</v>
      </c>
      <c r="AB22" s="20">
        <v>2</v>
      </c>
      <c r="AC22" s="20">
        <v>1</v>
      </c>
      <c r="AD22" s="31">
        <v>1</v>
      </c>
      <c r="AE22" s="21" t="s">
        <v>42</v>
      </c>
      <c r="AF22" s="32" t="s">
        <v>64</v>
      </c>
    </row>
    <row r="23" spans="2:32" x14ac:dyDescent="0.25">
      <c r="B23" s="15" t="s">
        <v>71</v>
      </c>
      <c r="C23" s="88" t="s">
        <v>72</v>
      </c>
      <c r="D23" s="88"/>
      <c r="E23" s="16">
        <v>1</v>
      </c>
      <c r="F23" s="17">
        <v>1479.557</v>
      </c>
      <c r="G23" s="18">
        <v>4</v>
      </c>
      <c r="H23" s="19">
        <v>4</v>
      </c>
      <c r="I23" s="19">
        <v>1</v>
      </c>
      <c r="J23" s="19">
        <v>1</v>
      </c>
      <c r="K23" s="19">
        <v>5</v>
      </c>
      <c r="L23" s="19">
        <v>3</v>
      </c>
      <c r="M23" s="19">
        <v>2</v>
      </c>
      <c r="N23" s="19">
        <v>2</v>
      </c>
      <c r="O23" s="19" t="s">
        <v>34</v>
      </c>
      <c r="P23" s="19">
        <v>1</v>
      </c>
      <c r="Q23" s="19">
        <v>1</v>
      </c>
      <c r="R23" s="19">
        <v>1</v>
      </c>
      <c r="S23" s="19">
        <v>1</v>
      </c>
      <c r="T23" s="19">
        <v>1</v>
      </c>
      <c r="U23" s="19">
        <v>1</v>
      </c>
      <c r="V23" s="19" t="s">
        <v>34</v>
      </c>
      <c r="W23" s="19" t="s">
        <v>34</v>
      </c>
      <c r="X23" s="19">
        <v>5</v>
      </c>
      <c r="Y23" s="19">
        <v>1</v>
      </c>
      <c r="Z23" s="19">
        <v>3</v>
      </c>
      <c r="AA23" s="19">
        <v>2</v>
      </c>
      <c r="AB23" s="20">
        <v>2</v>
      </c>
      <c r="AC23" s="20">
        <v>1</v>
      </c>
      <c r="AD23" s="31">
        <v>1</v>
      </c>
      <c r="AE23" s="21" t="s">
        <v>39</v>
      </c>
      <c r="AF23" s="32" t="s">
        <v>64</v>
      </c>
    </row>
    <row r="24" spans="2:32" x14ac:dyDescent="0.25">
      <c r="B24" s="15" t="s">
        <v>73</v>
      </c>
      <c r="C24" s="88" t="s">
        <v>74</v>
      </c>
      <c r="D24" s="88"/>
      <c r="E24" s="16">
        <v>1</v>
      </c>
      <c r="F24" s="17">
        <v>115.3165</v>
      </c>
      <c r="G24" s="18">
        <v>4</v>
      </c>
      <c r="H24" s="19">
        <v>4</v>
      </c>
      <c r="I24" s="19">
        <v>1</v>
      </c>
      <c r="J24" s="19">
        <v>1</v>
      </c>
      <c r="K24" s="19">
        <v>4</v>
      </c>
      <c r="L24" s="19">
        <v>3</v>
      </c>
      <c r="M24" s="19">
        <v>2</v>
      </c>
      <c r="N24" s="19">
        <v>1</v>
      </c>
      <c r="O24" s="19" t="s">
        <v>34</v>
      </c>
      <c r="P24" s="19">
        <v>1</v>
      </c>
      <c r="Q24" s="19">
        <v>1</v>
      </c>
      <c r="R24" s="19">
        <v>1</v>
      </c>
      <c r="S24" s="19">
        <v>1</v>
      </c>
      <c r="T24" s="19">
        <v>1</v>
      </c>
      <c r="U24" s="19">
        <v>1</v>
      </c>
      <c r="V24" s="19" t="s">
        <v>34</v>
      </c>
      <c r="W24" s="19" t="s">
        <v>34</v>
      </c>
      <c r="X24" s="19">
        <v>4</v>
      </c>
      <c r="Y24" s="19">
        <v>1</v>
      </c>
      <c r="Z24" s="19">
        <v>2</v>
      </c>
      <c r="AA24" s="19">
        <v>1</v>
      </c>
      <c r="AB24" s="20">
        <v>1</v>
      </c>
      <c r="AC24" s="20">
        <v>1</v>
      </c>
      <c r="AD24" s="31">
        <v>1</v>
      </c>
      <c r="AE24" s="21" t="s">
        <v>39</v>
      </c>
      <c r="AF24" s="32" t="s">
        <v>64</v>
      </c>
    </row>
    <row r="25" spans="2:32" x14ac:dyDescent="0.25">
      <c r="B25" s="15" t="s">
        <v>75</v>
      </c>
      <c r="C25" s="88" t="s">
        <v>76</v>
      </c>
      <c r="D25" s="88"/>
      <c r="E25" s="16">
        <v>1</v>
      </c>
      <c r="F25" s="17">
        <v>28.220199999999998</v>
      </c>
      <c r="G25" s="18">
        <v>4</v>
      </c>
      <c r="H25" s="19">
        <v>4</v>
      </c>
      <c r="I25" s="19">
        <v>1</v>
      </c>
      <c r="J25" s="19">
        <v>1</v>
      </c>
      <c r="K25" s="19">
        <v>1</v>
      </c>
      <c r="L25" s="19">
        <v>1</v>
      </c>
      <c r="M25" s="19">
        <v>1</v>
      </c>
      <c r="N25" s="19">
        <v>1</v>
      </c>
      <c r="O25" s="19" t="s">
        <v>34</v>
      </c>
      <c r="P25" s="19">
        <v>1</v>
      </c>
      <c r="Q25" s="19">
        <v>1</v>
      </c>
      <c r="R25" s="19">
        <v>1</v>
      </c>
      <c r="S25" s="19">
        <v>1</v>
      </c>
      <c r="T25" s="19">
        <v>1</v>
      </c>
      <c r="U25" s="19">
        <v>1</v>
      </c>
      <c r="V25" s="19" t="s">
        <v>34</v>
      </c>
      <c r="W25" s="19" t="s">
        <v>34</v>
      </c>
      <c r="X25" s="19">
        <v>1</v>
      </c>
      <c r="Y25" s="19">
        <v>1</v>
      </c>
      <c r="Z25" s="19">
        <v>2</v>
      </c>
      <c r="AA25" s="19">
        <v>1</v>
      </c>
      <c r="AB25" s="20">
        <v>1</v>
      </c>
      <c r="AC25" s="20">
        <v>1</v>
      </c>
      <c r="AD25" s="31">
        <v>1</v>
      </c>
      <c r="AE25" s="21" t="s">
        <v>55</v>
      </c>
      <c r="AF25" s="32" t="s">
        <v>36</v>
      </c>
    </row>
    <row r="26" spans="2:32" x14ac:dyDescent="0.25">
      <c r="B26" s="15" t="s">
        <v>77</v>
      </c>
      <c r="C26" s="88" t="s">
        <v>78</v>
      </c>
      <c r="D26" s="88"/>
      <c r="E26" s="16">
        <v>1</v>
      </c>
      <c r="F26" s="17">
        <v>15.9658</v>
      </c>
      <c r="G26" s="18">
        <v>4</v>
      </c>
      <c r="H26" s="19">
        <v>4</v>
      </c>
      <c r="I26" s="19">
        <v>1</v>
      </c>
      <c r="J26" s="19">
        <v>1</v>
      </c>
      <c r="K26" s="19">
        <v>3</v>
      </c>
      <c r="L26" s="19">
        <v>1</v>
      </c>
      <c r="M26" s="19">
        <v>1</v>
      </c>
      <c r="N26" s="19">
        <v>1</v>
      </c>
      <c r="O26" s="19" t="s">
        <v>34</v>
      </c>
      <c r="P26" s="19">
        <v>1</v>
      </c>
      <c r="Q26" s="19">
        <v>1</v>
      </c>
      <c r="R26" s="19">
        <v>1</v>
      </c>
      <c r="S26" s="19">
        <v>1</v>
      </c>
      <c r="T26" s="19">
        <v>1</v>
      </c>
      <c r="U26" s="19">
        <v>1</v>
      </c>
      <c r="V26" s="19" t="s">
        <v>34</v>
      </c>
      <c r="W26" s="19" t="s">
        <v>34</v>
      </c>
      <c r="X26" s="19">
        <v>1</v>
      </c>
      <c r="Y26" s="19">
        <v>1</v>
      </c>
      <c r="Z26" s="19">
        <v>1</v>
      </c>
      <c r="AA26" s="19">
        <v>1</v>
      </c>
      <c r="AB26" s="20">
        <v>1</v>
      </c>
      <c r="AC26" s="20">
        <v>1</v>
      </c>
      <c r="AD26" s="31">
        <v>1</v>
      </c>
      <c r="AE26" s="21" t="s">
        <v>42</v>
      </c>
      <c r="AF26" s="32" t="s">
        <v>36</v>
      </c>
    </row>
    <row r="27" spans="2:32" x14ac:dyDescent="0.25">
      <c r="B27" s="15" t="s">
        <v>79</v>
      </c>
      <c r="C27" s="88" t="s">
        <v>80</v>
      </c>
      <c r="D27" s="88"/>
      <c r="E27" s="16">
        <v>2</v>
      </c>
      <c r="F27" s="17">
        <v>6.4055</v>
      </c>
      <c r="G27" s="18">
        <v>4</v>
      </c>
      <c r="H27" s="19">
        <v>4</v>
      </c>
      <c r="I27" s="19">
        <v>1</v>
      </c>
      <c r="J27" s="19">
        <v>2</v>
      </c>
      <c r="K27" s="19">
        <v>3</v>
      </c>
      <c r="L27" s="19">
        <v>1</v>
      </c>
      <c r="M27" s="19">
        <v>1</v>
      </c>
      <c r="N27" s="19">
        <v>1</v>
      </c>
      <c r="O27" s="19" t="s">
        <v>34</v>
      </c>
      <c r="P27" s="19">
        <v>1</v>
      </c>
      <c r="Q27" s="19">
        <v>1</v>
      </c>
      <c r="R27" s="19">
        <v>1</v>
      </c>
      <c r="S27" s="19">
        <v>1</v>
      </c>
      <c r="T27" s="19">
        <v>1</v>
      </c>
      <c r="U27" s="19">
        <v>1</v>
      </c>
      <c r="V27" s="19" t="s">
        <v>34</v>
      </c>
      <c r="W27" s="19" t="s">
        <v>34</v>
      </c>
      <c r="X27" s="19">
        <v>4</v>
      </c>
      <c r="Y27" s="19">
        <v>2</v>
      </c>
      <c r="Z27" s="19">
        <v>3</v>
      </c>
      <c r="AA27" s="19">
        <v>1</v>
      </c>
      <c r="AB27" s="20">
        <v>1</v>
      </c>
      <c r="AC27" s="20">
        <v>1</v>
      </c>
      <c r="AD27" s="31">
        <v>1</v>
      </c>
      <c r="AE27" s="21" t="s">
        <v>81</v>
      </c>
      <c r="AF27" s="32" t="s">
        <v>36</v>
      </c>
    </row>
    <row r="28" spans="2:32" x14ac:dyDescent="0.25">
      <c r="B28" s="15" t="s">
        <v>82</v>
      </c>
      <c r="C28" s="88" t="s">
        <v>57</v>
      </c>
      <c r="D28" s="88"/>
      <c r="E28" s="16">
        <v>1</v>
      </c>
      <c r="F28" s="17">
        <v>1.4850000000000001</v>
      </c>
      <c r="G28" s="18">
        <v>4</v>
      </c>
      <c r="H28" s="19">
        <v>4</v>
      </c>
      <c r="I28" s="19">
        <v>1</v>
      </c>
      <c r="J28" s="19">
        <v>1</v>
      </c>
      <c r="K28" s="19">
        <v>3</v>
      </c>
      <c r="L28" s="19">
        <v>3</v>
      </c>
      <c r="M28" s="19">
        <v>1</v>
      </c>
      <c r="N28" s="19">
        <v>1</v>
      </c>
      <c r="O28" s="19" t="s">
        <v>34</v>
      </c>
      <c r="P28" s="19">
        <v>1</v>
      </c>
      <c r="Q28" s="19">
        <v>1</v>
      </c>
      <c r="R28" s="19">
        <v>1</v>
      </c>
      <c r="S28" s="19">
        <v>1</v>
      </c>
      <c r="T28" s="19">
        <v>1</v>
      </c>
      <c r="U28" s="19">
        <v>1</v>
      </c>
      <c r="V28" s="19" t="s">
        <v>34</v>
      </c>
      <c r="W28" s="19" t="s">
        <v>34</v>
      </c>
      <c r="X28" s="19">
        <v>1</v>
      </c>
      <c r="Y28" s="19">
        <v>1</v>
      </c>
      <c r="Z28" s="19">
        <v>1</v>
      </c>
      <c r="AA28" s="19">
        <v>1</v>
      </c>
      <c r="AB28" s="19">
        <v>1</v>
      </c>
      <c r="AC28" s="20">
        <v>1</v>
      </c>
      <c r="AD28" s="31">
        <v>1</v>
      </c>
      <c r="AE28" s="21" t="s">
        <v>42</v>
      </c>
      <c r="AF28" s="32" t="s">
        <v>36</v>
      </c>
    </row>
    <row r="29" spans="2:32" x14ac:dyDescent="0.25">
      <c r="B29" s="15" t="s">
        <v>83</v>
      </c>
      <c r="C29" s="88" t="s">
        <v>84</v>
      </c>
      <c r="D29" s="88"/>
      <c r="E29" s="16">
        <v>1</v>
      </c>
      <c r="F29" s="17">
        <v>59.0762</v>
      </c>
      <c r="G29" s="18">
        <v>4</v>
      </c>
      <c r="H29" s="19">
        <v>4</v>
      </c>
      <c r="I29" s="19">
        <v>1</v>
      </c>
      <c r="J29" s="19">
        <v>1</v>
      </c>
      <c r="K29" s="19">
        <v>4</v>
      </c>
      <c r="L29" s="19">
        <v>1</v>
      </c>
      <c r="M29" s="19">
        <v>1</v>
      </c>
      <c r="N29" s="19">
        <v>1</v>
      </c>
      <c r="O29" s="19" t="s">
        <v>34</v>
      </c>
      <c r="P29" s="19">
        <v>1</v>
      </c>
      <c r="Q29" s="19">
        <v>1</v>
      </c>
      <c r="R29" s="19">
        <v>1</v>
      </c>
      <c r="S29" s="19">
        <v>1</v>
      </c>
      <c r="T29" s="19">
        <v>1</v>
      </c>
      <c r="U29" s="19">
        <v>1</v>
      </c>
      <c r="V29" s="19" t="s">
        <v>34</v>
      </c>
      <c r="W29" s="19" t="s">
        <v>34</v>
      </c>
      <c r="X29" s="19">
        <v>4</v>
      </c>
      <c r="Y29" s="19">
        <v>1</v>
      </c>
      <c r="Z29" s="19">
        <v>2</v>
      </c>
      <c r="AA29" s="19">
        <v>1</v>
      </c>
      <c r="AB29" s="19">
        <v>1</v>
      </c>
      <c r="AC29" s="20">
        <v>1</v>
      </c>
      <c r="AD29" s="31">
        <v>1</v>
      </c>
      <c r="AE29" s="21" t="s">
        <v>39</v>
      </c>
      <c r="AF29" s="32" t="s">
        <v>36</v>
      </c>
    </row>
    <row r="30" spans="2:32" x14ac:dyDescent="0.25">
      <c r="B30" s="15" t="s">
        <v>85</v>
      </c>
      <c r="C30" s="88" t="s">
        <v>86</v>
      </c>
      <c r="D30" s="88"/>
      <c r="E30" s="16">
        <v>1</v>
      </c>
      <c r="F30" s="17">
        <v>35.673999999999999</v>
      </c>
      <c r="G30" s="18">
        <v>4</v>
      </c>
      <c r="H30" s="19">
        <v>4</v>
      </c>
      <c r="I30" s="19">
        <v>1</v>
      </c>
      <c r="J30" s="19">
        <v>1</v>
      </c>
      <c r="K30" s="19">
        <v>1</v>
      </c>
      <c r="L30" s="19">
        <v>1</v>
      </c>
      <c r="M30" s="19">
        <v>1</v>
      </c>
      <c r="N30" s="19">
        <v>1</v>
      </c>
      <c r="O30" s="19" t="s">
        <v>34</v>
      </c>
      <c r="P30" s="19">
        <v>1</v>
      </c>
      <c r="Q30" s="19">
        <v>1</v>
      </c>
      <c r="R30" s="19">
        <v>1</v>
      </c>
      <c r="S30" s="19">
        <v>1</v>
      </c>
      <c r="T30" s="19">
        <v>1</v>
      </c>
      <c r="U30" s="19">
        <v>1</v>
      </c>
      <c r="V30" s="19" t="s">
        <v>34</v>
      </c>
      <c r="W30" s="19" t="s">
        <v>34</v>
      </c>
      <c r="X30" s="19">
        <v>1</v>
      </c>
      <c r="Y30" s="19">
        <v>1</v>
      </c>
      <c r="Z30" s="19">
        <v>2</v>
      </c>
      <c r="AA30" s="19">
        <v>1</v>
      </c>
      <c r="AB30" s="19">
        <v>1</v>
      </c>
      <c r="AC30" s="20">
        <v>1</v>
      </c>
      <c r="AD30" s="31">
        <v>1</v>
      </c>
      <c r="AE30" s="21" t="s">
        <v>55</v>
      </c>
      <c r="AF30" s="32" t="s">
        <v>36</v>
      </c>
    </row>
    <row r="31" spans="2:32" x14ac:dyDescent="0.25">
      <c r="B31" s="15" t="s">
        <v>87</v>
      </c>
      <c r="C31" s="88" t="s">
        <v>88</v>
      </c>
      <c r="D31" s="88"/>
      <c r="E31" s="16">
        <v>1</v>
      </c>
      <c r="F31" s="17">
        <v>19.590900000000001</v>
      </c>
      <c r="G31" s="18">
        <v>4</v>
      </c>
      <c r="H31" s="19">
        <v>4</v>
      </c>
      <c r="I31" s="19">
        <v>1</v>
      </c>
      <c r="J31" s="19">
        <v>1</v>
      </c>
      <c r="K31" s="19">
        <v>1</v>
      </c>
      <c r="L31" s="19">
        <v>1</v>
      </c>
      <c r="M31" s="19">
        <v>1</v>
      </c>
      <c r="N31" s="19">
        <v>1</v>
      </c>
      <c r="O31" s="19" t="s">
        <v>34</v>
      </c>
      <c r="P31" s="19">
        <v>1</v>
      </c>
      <c r="Q31" s="19">
        <v>1</v>
      </c>
      <c r="R31" s="19">
        <v>1</v>
      </c>
      <c r="S31" s="19">
        <v>1</v>
      </c>
      <c r="T31" s="19">
        <v>1</v>
      </c>
      <c r="U31" s="19">
        <v>1</v>
      </c>
      <c r="V31" s="19" t="s">
        <v>34</v>
      </c>
      <c r="W31" s="19" t="s">
        <v>34</v>
      </c>
      <c r="X31" s="19">
        <v>1</v>
      </c>
      <c r="Y31" s="19">
        <v>1</v>
      </c>
      <c r="Z31" s="19">
        <v>2</v>
      </c>
      <c r="AA31" s="19">
        <v>1</v>
      </c>
      <c r="AB31" s="19">
        <v>1</v>
      </c>
      <c r="AC31" s="20">
        <v>1</v>
      </c>
      <c r="AD31" s="31">
        <v>1</v>
      </c>
      <c r="AE31" s="21" t="s">
        <v>55</v>
      </c>
      <c r="AF31" s="32" t="s">
        <v>36</v>
      </c>
    </row>
    <row r="32" spans="2:32" x14ac:dyDescent="0.25">
      <c r="B32" s="15" t="s">
        <v>89</v>
      </c>
      <c r="C32" s="88" t="s">
        <v>90</v>
      </c>
      <c r="D32" s="88"/>
      <c r="E32" s="16">
        <v>1</v>
      </c>
      <c r="F32" s="17">
        <v>30.0563</v>
      </c>
      <c r="G32" s="18">
        <v>4</v>
      </c>
      <c r="H32" s="19">
        <v>4</v>
      </c>
      <c r="I32" s="19">
        <v>1</v>
      </c>
      <c r="J32" s="19">
        <v>1</v>
      </c>
      <c r="K32" s="19">
        <v>1</v>
      </c>
      <c r="L32" s="19">
        <v>1</v>
      </c>
      <c r="M32" s="19">
        <v>1</v>
      </c>
      <c r="N32" s="19">
        <v>1</v>
      </c>
      <c r="O32" s="19" t="s">
        <v>34</v>
      </c>
      <c r="P32" s="19">
        <v>1</v>
      </c>
      <c r="Q32" s="19">
        <v>1</v>
      </c>
      <c r="R32" s="19">
        <v>1</v>
      </c>
      <c r="S32" s="19">
        <v>1</v>
      </c>
      <c r="T32" s="19">
        <v>1</v>
      </c>
      <c r="U32" s="19">
        <v>1</v>
      </c>
      <c r="V32" s="19" t="s">
        <v>34</v>
      </c>
      <c r="W32" s="19" t="s">
        <v>34</v>
      </c>
      <c r="X32" s="19">
        <v>1</v>
      </c>
      <c r="Y32" s="19">
        <v>1</v>
      </c>
      <c r="Z32" s="19">
        <v>2</v>
      </c>
      <c r="AA32" s="19">
        <v>1</v>
      </c>
      <c r="AB32" s="20">
        <v>1</v>
      </c>
      <c r="AC32" s="20">
        <v>1</v>
      </c>
      <c r="AD32" s="31">
        <v>1</v>
      </c>
      <c r="AE32" s="21" t="s">
        <v>55</v>
      </c>
      <c r="AF32" s="32" t="s">
        <v>36</v>
      </c>
    </row>
    <row r="33" spans="2:32" ht="15.75" thickBot="1" x14ac:dyDescent="0.3">
      <c r="B33" s="34" t="s">
        <v>91</v>
      </c>
      <c r="C33" s="87" t="s">
        <v>92</v>
      </c>
      <c r="D33" s="87"/>
      <c r="E33" s="35">
        <v>1</v>
      </c>
      <c r="F33" s="35">
        <v>54.884</v>
      </c>
      <c r="G33" s="36">
        <v>4</v>
      </c>
      <c r="H33" s="37">
        <v>4</v>
      </c>
      <c r="I33" s="37">
        <v>1</v>
      </c>
      <c r="J33" s="37">
        <v>1</v>
      </c>
      <c r="K33" s="37">
        <v>1</v>
      </c>
      <c r="L33" s="37">
        <v>1</v>
      </c>
      <c r="M33" s="37">
        <v>1</v>
      </c>
      <c r="N33" s="37">
        <v>1</v>
      </c>
      <c r="O33" s="37" t="s">
        <v>34</v>
      </c>
      <c r="P33" s="37">
        <v>1</v>
      </c>
      <c r="Q33" s="37">
        <v>1</v>
      </c>
      <c r="R33" s="37">
        <v>1</v>
      </c>
      <c r="S33" s="37">
        <v>1</v>
      </c>
      <c r="T33" s="37">
        <v>1</v>
      </c>
      <c r="U33" s="37">
        <v>1</v>
      </c>
      <c r="V33" s="37" t="s">
        <v>34</v>
      </c>
      <c r="W33" s="37" t="s">
        <v>34</v>
      </c>
      <c r="X33" s="37">
        <v>1</v>
      </c>
      <c r="Y33" s="37">
        <v>1</v>
      </c>
      <c r="Z33" s="37">
        <v>2</v>
      </c>
      <c r="AA33" s="37">
        <v>1</v>
      </c>
      <c r="AB33" s="38">
        <v>1</v>
      </c>
      <c r="AC33" s="38">
        <v>1</v>
      </c>
      <c r="AD33" s="38">
        <v>1</v>
      </c>
      <c r="AE33" s="39" t="s">
        <v>55</v>
      </c>
      <c r="AF33" s="40" t="s">
        <v>36</v>
      </c>
    </row>
    <row r="37" spans="2:32" x14ac:dyDescent="0.25">
      <c r="AC37" t="s">
        <v>93</v>
      </c>
    </row>
  </sheetData>
  <mergeCells count="31">
    <mergeCell ref="C8:D8"/>
    <mergeCell ref="B6:D7"/>
    <mergeCell ref="E6:E7"/>
    <mergeCell ref="F6:F7"/>
    <mergeCell ref="G6:AD6"/>
    <mergeCell ref="AE6:AF6"/>
    <mergeCell ref="C9:D9"/>
    <mergeCell ref="C10:D10"/>
    <mergeCell ref="B11:B14"/>
    <mergeCell ref="C11:C14"/>
    <mergeCell ref="F11:F12"/>
    <mergeCell ref="F13:F14"/>
    <mergeCell ref="C26:D26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3:D33"/>
    <mergeCell ref="C27:D27"/>
    <mergeCell ref="C28:D28"/>
    <mergeCell ref="C29:D29"/>
    <mergeCell ref="C30:D30"/>
    <mergeCell ref="C31:D31"/>
    <mergeCell ref="C32:D32"/>
  </mergeCells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A26"/>
  <sheetViews>
    <sheetView workbookViewId="0"/>
  </sheetViews>
  <sheetFormatPr defaultRowHeight="15" x14ac:dyDescent="0.25"/>
  <cols>
    <col min="1" max="5" width="9.140625" customWidth="1"/>
    <col min="6" max="7" width="10.5703125" bestFit="1" customWidth="1"/>
    <col min="8" max="9" width="14.7109375" bestFit="1" customWidth="1"/>
    <col min="10" max="10" width="11.5703125" bestFit="1" customWidth="1"/>
    <col min="11" max="11" width="9.140625" customWidth="1"/>
  </cols>
  <sheetData>
    <row r="2" spans="2:26" x14ac:dyDescent="0.25"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</row>
    <row r="5" spans="2:26" ht="15.75" thickBot="1" x14ac:dyDescent="0.3"/>
    <row r="6" spans="2:26" ht="15.75" customHeight="1" thickBot="1" x14ac:dyDescent="0.3">
      <c r="B6" s="103" t="s">
        <v>94</v>
      </c>
      <c r="C6" s="110" t="s">
        <v>95</v>
      </c>
      <c r="D6" s="110" t="s">
        <v>96</v>
      </c>
      <c r="E6" s="110"/>
      <c r="F6" s="103" t="s">
        <v>97</v>
      </c>
      <c r="G6" s="110" t="s">
        <v>98</v>
      </c>
      <c r="H6" s="103" t="s">
        <v>99</v>
      </c>
      <c r="I6" s="110" t="s">
        <v>100</v>
      </c>
      <c r="J6" s="103" t="s">
        <v>101</v>
      </c>
      <c r="K6" s="103" t="s">
        <v>102</v>
      </c>
      <c r="L6" s="103" t="s">
        <v>103</v>
      </c>
      <c r="U6" s="104" t="s">
        <v>104</v>
      </c>
      <c r="V6" s="104"/>
      <c r="W6" s="104"/>
      <c r="X6" s="104" t="s">
        <v>2</v>
      </c>
      <c r="Y6" s="41" t="s">
        <v>102</v>
      </c>
      <c r="Z6" s="105" t="s">
        <v>102</v>
      </c>
    </row>
    <row r="7" spans="2:26" ht="15.75" thickBot="1" x14ac:dyDescent="0.3">
      <c r="B7" s="103"/>
      <c r="C7" s="110"/>
      <c r="D7" s="106" t="s">
        <v>105</v>
      </c>
      <c r="E7" s="106"/>
      <c r="F7" s="103"/>
      <c r="G7" s="110"/>
      <c r="H7" s="103"/>
      <c r="I7" s="110"/>
      <c r="J7" s="103"/>
      <c r="K7" s="103"/>
      <c r="L7" s="103"/>
      <c r="U7" s="104"/>
      <c r="V7" s="104"/>
      <c r="W7" s="104"/>
      <c r="X7" s="104"/>
      <c r="Y7" s="42" t="s">
        <v>106</v>
      </c>
      <c r="Z7" s="105"/>
    </row>
    <row r="8" spans="2:26" x14ac:dyDescent="0.25">
      <c r="B8" s="43">
        <v>1</v>
      </c>
      <c r="C8" s="44">
        <v>400</v>
      </c>
      <c r="D8" s="107">
        <v>15</v>
      </c>
      <c r="E8" s="107"/>
      <c r="F8" s="45">
        <v>0.8</v>
      </c>
      <c r="G8" s="46">
        <v>8295.6</v>
      </c>
      <c r="H8" s="44">
        <v>34388</v>
      </c>
      <c r="I8" s="47">
        <f t="shared" ref="I8:I15" si="0">G8*D8</f>
        <v>124434</v>
      </c>
      <c r="J8" s="47">
        <f t="shared" ref="J8:J15" si="1">D8*H8</f>
        <v>515820</v>
      </c>
      <c r="K8" s="45">
        <f t="shared" ref="K8:K15" si="2">D8/F8</f>
        <v>18.75</v>
      </c>
      <c r="L8" s="48">
        <f t="shared" ref="L8:L15" si="3">K8*SIN(ACOS(F8))</f>
        <v>11.249999999999998</v>
      </c>
      <c r="U8" s="108" t="s">
        <v>107</v>
      </c>
      <c r="V8" s="108"/>
      <c r="W8" s="108"/>
      <c r="X8" s="49">
        <v>2</v>
      </c>
      <c r="Y8" s="49">
        <v>1.45</v>
      </c>
      <c r="Z8" s="49">
        <f t="shared" ref="Z8:Z20" si="4">X8*Y8</f>
        <v>2.9</v>
      </c>
    </row>
    <row r="9" spans="2:26" x14ac:dyDescent="0.25">
      <c r="B9" s="43">
        <v>2</v>
      </c>
      <c r="C9" s="44">
        <v>400</v>
      </c>
      <c r="D9" s="101">
        <v>10</v>
      </c>
      <c r="E9" s="101"/>
      <c r="F9" s="45">
        <v>0.8</v>
      </c>
      <c r="G9" s="47">
        <v>5600</v>
      </c>
      <c r="H9" s="46">
        <v>17486.099999999999</v>
      </c>
      <c r="I9" s="47">
        <f t="shared" si="0"/>
        <v>56000</v>
      </c>
      <c r="J9" s="47">
        <f t="shared" si="1"/>
        <v>174861</v>
      </c>
      <c r="K9" s="45">
        <f t="shared" si="2"/>
        <v>12.5</v>
      </c>
      <c r="L9" s="48">
        <f t="shared" si="3"/>
        <v>7.4999999999999982</v>
      </c>
      <c r="U9" s="98" t="s">
        <v>108</v>
      </c>
      <c r="V9" s="98"/>
      <c r="W9" s="98"/>
      <c r="X9" s="51">
        <v>2</v>
      </c>
      <c r="Y9" s="51">
        <v>2.44</v>
      </c>
      <c r="Z9" s="51">
        <f t="shared" si="4"/>
        <v>4.88</v>
      </c>
    </row>
    <row r="10" spans="2:26" x14ac:dyDescent="0.25">
      <c r="B10" s="43">
        <v>3</v>
      </c>
      <c r="C10" s="44">
        <v>400</v>
      </c>
      <c r="D10" s="101">
        <v>5</v>
      </c>
      <c r="E10" s="101"/>
      <c r="F10" s="45">
        <v>0.8</v>
      </c>
      <c r="G10" s="46">
        <v>24772.9</v>
      </c>
      <c r="H10" s="46">
        <v>17731.900000000001</v>
      </c>
      <c r="I10" s="47">
        <f t="shared" si="0"/>
        <v>123864.5</v>
      </c>
      <c r="J10" s="47">
        <f t="shared" si="1"/>
        <v>88659.5</v>
      </c>
      <c r="K10" s="45">
        <f t="shared" si="2"/>
        <v>6.25</v>
      </c>
      <c r="L10" s="48">
        <f t="shared" si="3"/>
        <v>3.7499999999999991</v>
      </c>
      <c r="U10" s="98" t="s">
        <v>109</v>
      </c>
      <c r="V10" s="98"/>
      <c r="W10" s="98"/>
      <c r="X10" s="51">
        <v>1</v>
      </c>
      <c r="Y10" s="51">
        <v>6.16</v>
      </c>
      <c r="Z10" s="51">
        <f t="shared" si="4"/>
        <v>6.16</v>
      </c>
    </row>
    <row r="11" spans="2:26" x14ac:dyDescent="0.25">
      <c r="B11" s="43">
        <v>4</v>
      </c>
      <c r="C11" s="44">
        <v>400</v>
      </c>
      <c r="D11" s="101">
        <v>1</v>
      </c>
      <c r="E11" s="101"/>
      <c r="F11" s="45">
        <v>0.8</v>
      </c>
      <c r="G11" s="46">
        <v>22248.9</v>
      </c>
      <c r="H11" s="46">
        <v>7354.7</v>
      </c>
      <c r="I11" s="47">
        <f t="shared" si="0"/>
        <v>22248.9</v>
      </c>
      <c r="J11" s="47">
        <f t="shared" si="1"/>
        <v>7354.7</v>
      </c>
      <c r="K11" s="45">
        <f t="shared" si="2"/>
        <v>1.25</v>
      </c>
      <c r="L11" s="48">
        <f t="shared" si="3"/>
        <v>0.74999999999999978</v>
      </c>
      <c r="U11" s="98" t="s">
        <v>110</v>
      </c>
      <c r="V11" s="98"/>
      <c r="W11" s="98"/>
      <c r="X11" s="51">
        <v>2</v>
      </c>
      <c r="Y11" s="51">
        <v>1.8</v>
      </c>
      <c r="Z11" s="51">
        <f t="shared" si="4"/>
        <v>3.6</v>
      </c>
    </row>
    <row r="12" spans="2:26" x14ac:dyDescent="0.25">
      <c r="B12" s="43">
        <v>5</v>
      </c>
      <c r="C12" s="44">
        <v>400</v>
      </c>
      <c r="D12" s="101">
        <v>1</v>
      </c>
      <c r="E12" s="101"/>
      <c r="F12" s="45">
        <v>0.8</v>
      </c>
      <c r="G12" s="46">
        <v>26248.9</v>
      </c>
      <c r="H12" s="46">
        <v>7354.7</v>
      </c>
      <c r="I12" s="47">
        <f t="shared" si="0"/>
        <v>26248.9</v>
      </c>
      <c r="J12" s="47">
        <f t="shared" si="1"/>
        <v>7354.7</v>
      </c>
      <c r="K12" s="45">
        <f t="shared" si="2"/>
        <v>1.25</v>
      </c>
      <c r="L12" s="48">
        <f t="shared" si="3"/>
        <v>0.74999999999999978</v>
      </c>
      <c r="U12" s="98" t="s">
        <v>111</v>
      </c>
      <c r="V12" s="98"/>
      <c r="W12" s="98"/>
      <c r="X12" s="51">
        <v>5</v>
      </c>
      <c r="Y12" s="51">
        <v>0.24</v>
      </c>
      <c r="Z12" s="51">
        <f t="shared" si="4"/>
        <v>1.2</v>
      </c>
    </row>
    <row r="13" spans="2:26" x14ac:dyDescent="0.25">
      <c r="B13" s="43">
        <v>6</v>
      </c>
      <c r="C13" s="44">
        <v>400</v>
      </c>
      <c r="D13" s="101">
        <v>1</v>
      </c>
      <c r="E13" s="101"/>
      <c r="F13" s="45">
        <v>0.8</v>
      </c>
      <c r="G13" s="46">
        <v>30332.3</v>
      </c>
      <c r="H13" s="46">
        <v>7354.7</v>
      </c>
      <c r="I13" s="47">
        <f t="shared" si="0"/>
        <v>30332.3</v>
      </c>
      <c r="J13" s="47">
        <f t="shared" si="1"/>
        <v>7354.7</v>
      </c>
      <c r="K13" s="45">
        <f t="shared" si="2"/>
        <v>1.25</v>
      </c>
      <c r="L13" s="48">
        <f t="shared" si="3"/>
        <v>0.74999999999999978</v>
      </c>
      <c r="U13" s="98" t="s">
        <v>112</v>
      </c>
      <c r="V13" s="98"/>
      <c r="W13" s="98"/>
      <c r="X13" s="51">
        <v>2</v>
      </c>
      <c r="Y13" s="51">
        <v>0.6</v>
      </c>
      <c r="Z13" s="51">
        <f t="shared" si="4"/>
        <v>1.2</v>
      </c>
    </row>
    <row r="14" spans="2:26" x14ac:dyDescent="0.25">
      <c r="B14" s="43">
        <v>7</v>
      </c>
      <c r="C14" s="44">
        <v>400</v>
      </c>
      <c r="D14" s="101">
        <v>1</v>
      </c>
      <c r="E14" s="101"/>
      <c r="F14" s="45">
        <v>0.8</v>
      </c>
      <c r="G14" s="47">
        <v>34415.699999999997</v>
      </c>
      <c r="H14" s="46">
        <v>7354.7</v>
      </c>
      <c r="I14" s="47">
        <f t="shared" si="0"/>
        <v>34415.699999999997</v>
      </c>
      <c r="J14" s="47">
        <f t="shared" si="1"/>
        <v>7354.7</v>
      </c>
      <c r="K14" s="45">
        <f t="shared" si="2"/>
        <v>1.25</v>
      </c>
      <c r="L14" s="48">
        <f t="shared" si="3"/>
        <v>0.74999999999999978</v>
      </c>
      <c r="U14" s="98" t="s">
        <v>113</v>
      </c>
      <c r="V14" s="98"/>
      <c r="W14" s="98"/>
      <c r="X14" s="51">
        <v>1</v>
      </c>
      <c r="Y14" s="51">
        <v>0.7</v>
      </c>
      <c r="Z14" s="51">
        <f t="shared" si="4"/>
        <v>0.7</v>
      </c>
    </row>
    <row r="15" spans="2:26" x14ac:dyDescent="0.25">
      <c r="B15" s="43">
        <v>8</v>
      </c>
      <c r="C15" s="44">
        <v>400</v>
      </c>
      <c r="D15" s="101">
        <v>20</v>
      </c>
      <c r="E15" s="101"/>
      <c r="F15" s="45">
        <v>0.8</v>
      </c>
      <c r="G15" s="47">
        <v>38839.699999999997</v>
      </c>
      <c r="H15" s="47">
        <v>30262.7</v>
      </c>
      <c r="I15" s="47">
        <f t="shared" si="0"/>
        <v>776794</v>
      </c>
      <c r="J15" s="47">
        <f t="shared" si="1"/>
        <v>605254</v>
      </c>
      <c r="K15" s="45">
        <f t="shared" si="2"/>
        <v>25</v>
      </c>
      <c r="L15" s="48">
        <f t="shared" si="3"/>
        <v>14.999999999999996</v>
      </c>
      <c r="U15" s="98" t="s">
        <v>114</v>
      </c>
      <c r="V15" s="98"/>
      <c r="W15" s="98"/>
      <c r="X15" s="51">
        <v>1</v>
      </c>
      <c r="Y15" s="51">
        <v>1.8</v>
      </c>
      <c r="Z15" s="51">
        <f t="shared" si="4"/>
        <v>1.8</v>
      </c>
    </row>
    <row r="16" spans="2:26" x14ac:dyDescent="0.25">
      <c r="B16" s="52" t="s">
        <v>115</v>
      </c>
      <c r="C16" s="53"/>
      <c r="D16" s="102">
        <f>SUM(D8:D15)</f>
        <v>54</v>
      </c>
      <c r="E16" s="102"/>
      <c r="F16" s="53"/>
      <c r="G16" s="54">
        <f t="shared" ref="G16:L16" si="5">SUM(G8:G15)</f>
        <v>190754</v>
      </c>
      <c r="H16" s="54">
        <f t="shared" si="5"/>
        <v>129287.49999999999</v>
      </c>
      <c r="I16" s="54">
        <f t="shared" si="5"/>
        <v>1194338.3</v>
      </c>
      <c r="J16" s="54">
        <f t="shared" si="5"/>
        <v>1414013.2999999998</v>
      </c>
      <c r="K16" s="54">
        <f t="shared" si="5"/>
        <v>67.5</v>
      </c>
      <c r="L16" s="54">
        <f t="shared" si="5"/>
        <v>40.499999999999993</v>
      </c>
      <c r="U16" s="98" t="s">
        <v>116</v>
      </c>
      <c r="V16" s="98"/>
      <c r="W16" s="98"/>
      <c r="X16" s="50">
        <v>1</v>
      </c>
      <c r="Y16" s="50">
        <v>0.22</v>
      </c>
      <c r="Z16" s="50">
        <f t="shared" si="4"/>
        <v>0.22</v>
      </c>
    </row>
    <row r="17" spans="2:27" ht="15.75" thickBot="1" x14ac:dyDescent="0.3">
      <c r="B17" s="55" t="s">
        <v>117</v>
      </c>
      <c r="C17" s="56"/>
      <c r="D17" s="56"/>
      <c r="E17" s="56"/>
      <c r="F17" s="56"/>
      <c r="G17" s="56">
        <f>I16/D16</f>
        <v>22117.375925925928</v>
      </c>
      <c r="H17" s="56">
        <f>J16/D16</f>
        <v>26185.431481481479</v>
      </c>
      <c r="I17" s="56"/>
      <c r="J17" s="56"/>
      <c r="K17" s="56"/>
      <c r="L17" s="57"/>
      <c r="U17" s="98" t="s">
        <v>118</v>
      </c>
      <c r="V17" s="98"/>
      <c r="W17" s="98"/>
      <c r="X17" s="50">
        <v>2</v>
      </c>
      <c r="Y17" s="50">
        <v>1.5</v>
      </c>
      <c r="Z17" s="50">
        <f t="shared" si="4"/>
        <v>3</v>
      </c>
    </row>
    <row r="18" spans="2:27" x14ac:dyDescent="0.25">
      <c r="U18" s="98" t="s">
        <v>119</v>
      </c>
      <c r="V18" s="98"/>
      <c r="W18" s="98"/>
      <c r="X18" s="50">
        <v>2</v>
      </c>
      <c r="Y18" s="50">
        <v>3.3</v>
      </c>
      <c r="Z18" s="50">
        <f t="shared" si="4"/>
        <v>6.6</v>
      </c>
    </row>
    <row r="19" spans="2:27" x14ac:dyDescent="0.25">
      <c r="U19" s="98" t="s">
        <v>120</v>
      </c>
      <c r="V19" s="98"/>
      <c r="W19" s="98"/>
      <c r="X19" s="50">
        <v>4</v>
      </c>
      <c r="Y19" s="50">
        <v>2</v>
      </c>
      <c r="Z19" s="50">
        <f t="shared" si="4"/>
        <v>8</v>
      </c>
    </row>
    <row r="20" spans="2:27" ht="15.75" thickBot="1" x14ac:dyDescent="0.3">
      <c r="U20" s="99" t="s">
        <v>121</v>
      </c>
      <c r="V20" s="99"/>
      <c r="W20" s="99"/>
      <c r="X20" s="58">
        <v>1</v>
      </c>
      <c r="Y20" s="58">
        <v>3.3</v>
      </c>
      <c r="Z20" s="58">
        <f t="shared" si="4"/>
        <v>3.3</v>
      </c>
    </row>
    <row r="21" spans="2:27" ht="15.75" thickBot="1" x14ac:dyDescent="0.3">
      <c r="U21" s="100"/>
      <c r="V21" s="100"/>
      <c r="W21" s="100"/>
      <c r="Y21" s="59" t="s">
        <v>115</v>
      </c>
      <c r="Z21" s="60">
        <f>SUM(Z8:Z20)</f>
        <v>43.559999999999995</v>
      </c>
      <c r="AA21" t="s">
        <v>122</v>
      </c>
    </row>
    <row r="26" spans="2:27" x14ac:dyDescent="0.25">
      <c r="L26" s="61"/>
    </row>
  </sheetData>
  <mergeCells count="38">
    <mergeCell ref="D8:E8"/>
    <mergeCell ref="U8:W8"/>
    <mergeCell ref="C2:W2"/>
    <mergeCell ref="B6:B7"/>
    <mergeCell ref="C6:C7"/>
    <mergeCell ref="D6:E6"/>
    <mergeCell ref="F6:F7"/>
    <mergeCell ref="G6:G7"/>
    <mergeCell ref="H6:H7"/>
    <mergeCell ref="I6:I7"/>
    <mergeCell ref="J6:J7"/>
    <mergeCell ref="K6:K7"/>
    <mergeCell ref="L6:L7"/>
    <mergeCell ref="U6:W7"/>
    <mergeCell ref="X6:X7"/>
    <mergeCell ref="Z6:Z7"/>
    <mergeCell ref="D7:E7"/>
    <mergeCell ref="D9:E9"/>
    <mergeCell ref="U9:W9"/>
    <mergeCell ref="D10:E10"/>
    <mergeCell ref="U10:W10"/>
    <mergeCell ref="D11:E11"/>
    <mergeCell ref="U11:W11"/>
    <mergeCell ref="D12:E12"/>
    <mergeCell ref="U12:W12"/>
    <mergeCell ref="D13:E13"/>
    <mergeCell ref="U13:W13"/>
    <mergeCell ref="D14:E14"/>
    <mergeCell ref="U14:W14"/>
    <mergeCell ref="U19:W19"/>
    <mergeCell ref="U20:W20"/>
    <mergeCell ref="U21:W21"/>
    <mergeCell ref="D15:E15"/>
    <mergeCell ref="U15:W15"/>
    <mergeCell ref="D16:E16"/>
    <mergeCell ref="U16:W16"/>
    <mergeCell ref="U17:W17"/>
    <mergeCell ref="U18:W18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8"/>
  <sheetViews>
    <sheetView workbookViewId="0"/>
  </sheetViews>
  <sheetFormatPr defaultRowHeight="15" x14ac:dyDescent="0.25"/>
  <cols>
    <col min="1" max="5" width="9.140625" customWidth="1"/>
    <col min="6" max="6" width="10.7109375" bestFit="1" customWidth="1"/>
    <col min="7" max="7" width="10.5703125" bestFit="1" customWidth="1"/>
    <col min="8" max="8" width="24.5703125" bestFit="1" customWidth="1"/>
    <col min="9" max="9" width="23.140625" bestFit="1" customWidth="1"/>
    <col min="10" max="10" width="9.140625" customWidth="1"/>
  </cols>
  <sheetData>
    <row r="2" spans="2:9" ht="15.75" thickBot="1" x14ac:dyDescent="0.3"/>
    <row r="3" spans="2:9" ht="15.75" customHeight="1" thickBot="1" x14ac:dyDescent="0.3">
      <c r="B3" s="114" t="s">
        <v>123</v>
      </c>
      <c r="C3" s="114"/>
      <c r="D3" s="114" t="s">
        <v>2</v>
      </c>
      <c r="E3" s="115" t="s">
        <v>124</v>
      </c>
      <c r="F3" s="116" t="s">
        <v>125</v>
      </c>
      <c r="G3" s="116"/>
      <c r="H3" s="115" t="s">
        <v>126</v>
      </c>
      <c r="I3" s="115" t="s">
        <v>127</v>
      </c>
    </row>
    <row r="4" spans="2:9" ht="15.75" thickBot="1" x14ac:dyDescent="0.3">
      <c r="B4" s="114"/>
      <c r="C4" s="114"/>
      <c r="D4" s="114"/>
      <c r="E4" s="115"/>
      <c r="F4" s="62" t="s">
        <v>128</v>
      </c>
      <c r="G4" s="62" t="s">
        <v>129</v>
      </c>
      <c r="H4" s="115"/>
      <c r="I4" s="115"/>
    </row>
    <row r="5" spans="2:9" x14ac:dyDescent="0.25">
      <c r="B5" s="113" t="s">
        <v>33</v>
      </c>
      <c r="C5" s="113"/>
      <c r="D5" s="63">
        <v>1</v>
      </c>
      <c r="E5" s="63">
        <v>18.862500000000001</v>
      </c>
      <c r="F5" s="49">
        <v>1400</v>
      </c>
      <c r="G5" s="64">
        <v>350</v>
      </c>
      <c r="H5" s="65">
        <v>175</v>
      </c>
      <c r="I5" s="66">
        <f t="shared" ref="I5:I16" si="0">(E5*H5)/1000</f>
        <v>3.3009374999999999</v>
      </c>
    </row>
    <row r="6" spans="2:9" x14ac:dyDescent="0.25">
      <c r="B6" s="111" t="s">
        <v>59</v>
      </c>
      <c r="C6" s="111"/>
      <c r="D6" s="67">
        <v>1</v>
      </c>
      <c r="E6" s="67">
        <v>38.844999999999999</v>
      </c>
      <c r="F6" s="51">
        <v>640</v>
      </c>
      <c r="G6" s="68">
        <v>160</v>
      </c>
      <c r="H6" s="69">
        <v>80</v>
      </c>
      <c r="I6" s="70">
        <f t="shared" si="0"/>
        <v>3.1075999999999997</v>
      </c>
    </row>
    <row r="7" spans="2:9" x14ac:dyDescent="0.25">
      <c r="B7" s="111" t="s">
        <v>61</v>
      </c>
      <c r="C7" s="111"/>
      <c r="D7" s="67">
        <v>1</v>
      </c>
      <c r="E7" s="67">
        <v>15.4275</v>
      </c>
      <c r="F7" s="51">
        <v>640</v>
      </c>
      <c r="G7" s="68">
        <v>160</v>
      </c>
      <c r="H7" s="69">
        <v>80</v>
      </c>
      <c r="I7" s="70">
        <f t="shared" si="0"/>
        <v>1.2342</v>
      </c>
    </row>
    <row r="8" spans="2:9" x14ac:dyDescent="0.25">
      <c r="B8" s="111" t="s">
        <v>63</v>
      </c>
      <c r="C8" s="111"/>
      <c r="D8" s="67">
        <v>1</v>
      </c>
      <c r="E8" s="67">
        <v>35.271000000000001</v>
      </c>
      <c r="F8" s="51">
        <v>640</v>
      </c>
      <c r="G8" s="68">
        <v>160</v>
      </c>
      <c r="H8" s="69">
        <v>80</v>
      </c>
      <c r="I8" s="70">
        <f t="shared" si="0"/>
        <v>2.8216800000000002</v>
      </c>
    </row>
    <row r="9" spans="2:9" x14ac:dyDescent="0.25">
      <c r="B9" s="111" t="s">
        <v>68</v>
      </c>
      <c r="C9" s="111"/>
      <c r="D9" s="67">
        <v>1</v>
      </c>
      <c r="E9" s="67">
        <v>55.150500000000001</v>
      </c>
      <c r="F9" s="51">
        <v>640</v>
      </c>
      <c r="G9" s="68">
        <v>160</v>
      </c>
      <c r="H9" s="69">
        <v>80</v>
      </c>
      <c r="I9" s="70">
        <f t="shared" si="0"/>
        <v>4.4120400000000002</v>
      </c>
    </row>
    <row r="10" spans="2:9" x14ac:dyDescent="0.25">
      <c r="B10" s="111" t="s">
        <v>76</v>
      </c>
      <c r="C10" s="111"/>
      <c r="D10" s="67">
        <v>1</v>
      </c>
      <c r="E10" s="67">
        <v>28.220199999999998</v>
      </c>
      <c r="F10" s="51">
        <v>640</v>
      </c>
      <c r="G10" s="68">
        <v>160</v>
      </c>
      <c r="H10" s="69">
        <v>80</v>
      </c>
      <c r="I10" s="70">
        <f t="shared" si="0"/>
        <v>2.2576160000000001</v>
      </c>
    </row>
    <row r="11" spans="2:9" x14ac:dyDescent="0.25">
      <c r="B11" s="111" t="s">
        <v>78</v>
      </c>
      <c r="C11" s="111"/>
      <c r="D11" s="67">
        <v>1</v>
      </c>
      <c r="E11" s="67">
        <v>15.9658</v>
      </c>
      <c r="F11" s="51">
        <v>640</v>
      </c>
      <c r="G11" s="68">
        <v>160</v>
      </c>
      <c r="H11" s="69">
        <v>80</v>
      </c>
      <c r="I11" s="70">
        <f t="shared" si="0"/>
        <v>1.277264</v>
      </c>
    </row>
    <row r="12" spans="2:9" x14ac:dyDescent="0.25">
      <c r="B12" s="111" t="s">
        <v>84</v>
      </c>
      <c r="C12" s="111"/>
      <c r="D12" s="67">
        <v>1</v>
      </c>
      <c r="E12" s="67">
        <v>59.0762</v>
      </c>
      <c r="F12" s="51">
        <v>640</v>
      </c>
      <c r="G12" s="68">
        <v>160</v>
      </c>
      <c r="H12" s="69">
        <v>80</v>
      </c>
      <c r="I12" s="70">
        <f t="shared" si="0"/>
        <v>4.7260959999999992</v>
      </c>
    </row>
    <row r="13" spans="2:9" x14ac:dyDescent="0.25">
      <c r="B13" s="111" t="s">
        <v>86</v>
      </c>
      <c r="C13" s="111"/>
      <c r="D13" s="67">
        <v>1</v>
      </c>
      <c r="E13" s="67">
        <v>35.673999999999999</v>
      </c>
      <c r="F13" s="51">
        <v>640</v>
      </c>
      <c r="G13" s="68">
        <v>160</v>
      </c>
      <c r="H13" s="69">
        <v>80</v>
      </c>
      <c r="I13" s="70">
        <f t="shared" si="0"/>
        <v>2.85392</v>
      </c>
    </row>
    <row r="14" spans="2:9" x14ac:dyDescent="0.25">
      <c r="B14" s="111" t="s">
        <v>88</v>
      </c>
      <c r="C14" s="111"/>
      <c r="D14" s="67">
        <v>1</v>
      </c>
      <c r="E14" s="67">
        <v>19.590900000000001</v>
      </c>
      <c r="F14" s="51">
        <v>640</v>
      </c>
      <c r="G14" s="68">
        <v>160</v>
      </c>
      <c r="H14" s="69">
        <v>80</v>
      </c>
      <c r="I14" s="70">
        <f t="shared" si="0"/>
        <v>1.5672720000000002</v>
      </c>
    </row>
    <row r="15" spans="2:9" x14ac:dyDescent="0.25">
      <c r="B15" s="111" t="s">
        <v>90</v>
      </c>
      <c r="C15" s="111"/>
      <c r="D15" s="67">
        <v>1</v>
      </c>
      <c r="E15" s="67">
        <v>30.0563</v>
      </c>
      <c r="F15" s="51">
        <v>640</v>
      </c>
      <c r="G15" s="68">
        <v>160</v>
      </c>
      <c r="H15" s="69">
        <v>80</v>
      </c>
      <c r="I15" s="70">
        <f t="shared" si="0"/>
        <v>2.4045039999999998</v>
      </c>
    </row>
    <row r="16" spans="2:9" ht="15.75" thickBot="1" x14ac:dyDescent="0.3">
      <c r="B16" s="112" t="s">
        <v>92</v>
      </c>
      <c r="C16" s="112"/>
      <c r="D16" s="71">
        <v>1</v>
      </c>
      <c r="E16" s="71">
        <v>54.884</v>
      </c>
      <c r="F16" s="72">
        <v>640</v>
      </c>
      <c r="G16" s="73">
        <v>160</v>
      </c>
      <c r="H16" s="74">
        <v>80</v>
      </c>
      <c r="I16" s="75">
        <f t="shared" si="0"/>
        <v>4.39072</v>
      </c>
    </row>
    <row r="17" spans="8:9" ht="15.75" thickBot="1" x14ac:dyDescent="0.3"/>
    <row r="18" spans="8:9" ht="15.75" thickBot="1" x14ac:dyDescent="0.3">
      <c r="H18" s="76" t="s">
        <v>130</v>
      </c>
      <c r="I18" s="77">
        <f>SUM(I5:I16)</f>
        <v>34.353849499999995</v>
      </c>
    </row>
  </sheetData>
  <mergeCells count="18">
    <mergeCell ref="I3:I4"/>
    <mergeCell ref="B3:C4"/>
    <mergeCell ref="D3:D4"/>
    <mergeCell ref="E3:E4"/>
    <mergeCell ref="F3:G3"/>
    <mergeCell ref="H3:H4"/>
    <mergeCell ref="B16:C16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</mergeCells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J32"/>
  <sheetViews>
    <sheetView workbookViewId="0">
      <selection activeCell="H37" sqref="H37"/>
    </sheetView>
  </sheetViews>
  <sheetFormatPr defaultRowHeight="15" x14ac:dyDescent="0.25"/>
  <cols>
    <col min="1" max="3" width="9.140625" customWidth="1"/>
    <col min="4" max="4" width="17.85546875" bestFit="1" customWidth="1"/>
    <col min="5" max="5" width="9.28515625" bestFit="1" customWidth="1"/>
    <col min="6" max="7" width="9.140625" customWidth="1"/>
    <col min="8" max="9" width="30.42578125" bestFit="1" customWidth="1"/>
    <col min="10" max="10" width="23.140625" bestFit="1" customWidth="1"/>
    <col min="11" max="11" width="9.140625" customWidth="1"/>
  </cols>
  <sheetData>
    <row r="2" spans="3:9" ht="15.75" thickBot="1" x14ac:dyDescent="0.3"/>
    <row r="3" spans="3:9" ht="19.5" thickBot="1" x14ac:dyDescent="0.3">
      <c r="C3" s="121" t="s">
        <v>131</v>
      </c>
      <c r="D3" s="121"/>
      <c r="E3" s="121"/>
      <c r="F3" s="121"/>
      <c r="G3" s="121"/>
      <c r="H3" s="121"/>
      <c r="I3" s="121"/>
    </row>
    <row r="4" spans="3:9" ht="15" customHeight="1" thickBot="1" x14ac:dyDescent="0.3">
      <c r="C4" s="114" t="s">
        <v>132</v>
      </c>
      <c r="D4" s="114" t="s">
        <v>123</v>
      </c>
      <c r="E4" s="114"/>
      <c r="F4" s="114" t="s">
        <v>2</v>
      </c>
      <c r="G4" s="115" t="s">
        <v>124</v>
      </c>
      <c r="H4" s="115" t="s">
        <v>133</v>
      </c>
      <c r="I4" s="115" t="s">
        <v>127</v>
      </c>
    </row>
    <row r="5" spans="3:9" ht="15.75" thickBot="1" x14ac:dyDescent="0.3">
      <c r="C5" s="114"/>
      <c r="D5" s="114"/>
      <c r="E5" s="114"/>
      <c r="F5" s="114"/>
      <c r="G5" s="115"/>
      <c r="H5" s="115"/>
      <c r="I5" s="115"/>
    </row>
    <row r="6" spans="3:9" ht="15.75" thickBot="1" x14ac:dyDescent="0.3">
      <c r="C6" s="117">
        <v>0</v>
      </c>
      <c r="D6" s="113" t="s">
        <v>33</v>
      </c>
      <c r="E6" s="113"/>
      <c r="F6" s="78">
        <v>1</v>
      </c>
      <c r="G6" s="78">
        <v>18.862500000000001</v>
      </c>
      <c r="H6" s="79">
        <v>25</v>
      </c>
      <c r="I6" s="80">
        <f>(F6*G6*H6)/1000</f>
        <v>0.4715625</v>
      </c>
    </row>
    <row r="7" spans="3:9" ht="15.75" thickBot="1" x14ac:dyDescent="0.3">
      <c r="C7" s="117"/>
      <c r="D7" s="111" t="s">
        <v>38</v>
      </c>
      <c r="E7" s="111"/>
      <c r="F7" s="67">
        <v>1</v>
      </c>
      <c r="G7" s="67">
        <v>2.88</v>
      </c>
      <c r="H7" s="69">
        <v>25</v>
      </c>
      <c r="I7" s="51">
        <f>(F7*G7*H7)/1000</f>
        <v>7.1999999999999995E-2</v>
      </c>
    </row>
    <row r="8" spans="3:9" ht="15.75" thickBot="1" x14ac:dyDescent="0.3">
      <c r="C8" s="117"/>
      <c r="D8" s="111" t="s">
        <v>41</v>
      </c>
      <c r="E8" s="111"/>
      <c r="F8" s="67">
        <v>1</v>
      </c>
      <c r="G8" s="67">
        <v>3.9775</v>
      </c>
      <c r="H8" s="69">
        <v>25</v>
      </c>
      <c r="I8" s="51">
        <f>(F8*G8*H8)/1000</f>
        <v>9.9437499999999998E-2</v>
      </c>
    </row>
    <row r="9" spans="3:9" ht="15.75" thickBot="1" x14ac:dyDescent="0.3">
      <c r="C9" s="117"/>
      <c r="D9" s="120" t="s">
        <v>44</v>
      </c>
      <c r="E9" s="120"/>
      <c r="F9" s="118">
        <v>1</v>
      </c>
      <c r="G9" s="118">
        <v>18.052700000000002</v>
      </c>
      <c r="H9" s="119">
        <v>25</v>
      </c>
      <c r="I9" s="98">
        <f>(F9*G9*H9)/100025</f>
        <v>4.5120469882529374E-3</v>
      </c>
    </row>
    <row r="10" spans="3:9" ht="15.75" thickBot="1" x14ac:dyDescent="0.3">
      <c r="C10" s="117"/>
      <c r="D10" s="120"/>
      <c r="E10" s="120"/>
      <c r="F10" s="118"/>
      <c r="G10" s="118"/>
      <c r="H10" s="119"/>
      <c r="I10" s="98"/>
    </row>
    <row r="11" spans="3:9" ht="15.75" thickBot="1" x14ac:dyDescent="0.3">
      <c r="C11" s="117"/>
      <c r="D11" s="120"/>
      <c r="E11" s="120"/>
      <c r="F11" s="118">
        <v>1</v>
      </c>
      <c r="G11" s="118">
        <v>14.113899999999999</v>
      </c>
      <c r="H11" s="119">
        <v>25</v>
      </c>
      <c r="I11" s="98">
        <f>(F11*G11*H11)/100025</f>
        <v>3.5275931017245687E-3</v>
      </c>
    </row>
    <row r="12" spans="3:9" ht="15.75" thickBot="1" x14ac:dyDescent="0.3">
      <c r="C12" s="117"/>
      <c r="D12" s="120"/>
      <c r="E12" s="120"/>
      <c r="F12" s="118"/>
      <c r="G12" s="118"/>
      <c r="H12" s="119"/>
      <c r="I12" s="98"/>
    </row>
    <row r="13" spans="3:9" ht="15.75" thickBot="1" x14ac:dyDescent="0.3">
      <c r="C13" s="117"/>
      <c r="D13" s="120" t="s">
        <v>54</v>
      </c>
      <c r="E13" s="120"/>
      <c r="F13" s="67">
        <v>2</v>
      </c>
      <c r="G13" s="67">
        <v>10.1221</v>
      </c>
      <c r="H13" s="69">
        <v>25</v>
      </c>
      <c r="I13" s="51">
        <f t="shared" ref="I13:I31" si="0">(F13*G13*H13)/1000</f>
        <v>0.50610499999999992</v>
      </c>
    </row>
    <row r="14" spans="3:9" ht="15.75" thickBot="1" x14ac:dyDescent="0.3">
      <c r="C14" s="117"/>
      <c r="D14" s="111" t="s">
        <v>57</v>
      </c>
      <c r="E14" s="111"/>
      <c r="F14" s="67">
        <v>1</v>
      </c>
      <c r="G14" s="67">
        <v>2.7105000000000001</v>
      </c>
      <c r="H14" s="69">
        <v>25</v>
      </c>
      <c r="I14" s="51">
        <f t="shared" si="0"/>
        <v>6.7762500000000003E-2</v>
      </c>
    </row>
    <row r="15" spans="3:9" ht="15.75" thickBot="1" x14ac:dyDescent="0.3">
      <c r="C15" s="117"/>
      <c r="D15" s="111" t="s">
        <v>59</v>
      </c>
      <c r="E15" s="111"/>
      <c r="F15" s="67">
        <v>1</v>
      </c>
      <c r="G15" s="67">
        <v>38.844999999999999</v>
      </c>
      <c r="H15" s="69">
        <v>25</v>
      </c>
      <c r="I15" s="51">
        <f t="shared" si="0"/>
        <v>0.97112500000000002</v>
      </c>
    </row>
    <row r="16" spans="3:9" ht="15.75" thickBot="1" x14ac:dyDescent="0.3">
      <c r="C16" s="117"/>
      <c r="D16" s="111" t="s">
        <v>61</v>
      </c>
      <c r="E16" s="111"/>
      <c r="F16" s="67">
        <v>1</v>
      </c>
      <c r="G16" s="67">
        <v>15.4275</v>
      </c>
      <c r="H16" s="69">
        <v>25</v>
      </c>
      <c r="I16" s="51">
        <f t="shared" si="0"/>
        <v>0.38568750000000002</v>
      </c>
    </row>
    <row r="17" spans="3:10" ht="15.75" thickBot="1" x14ac:dyDescent="0.3">
      <c r="C17" s="117"/>
      <c r="D17" s="111" t="s">
        <v>63</v>
      </c>
      <c r="E17" s="111"/>
      <c r="F17" s="67">
        <v>1</v>
      </c>
      <c r="G17" s="67">
        <v>35.271000000000001</v>
      </c>
      <c r="H17" s="69">
        <v>25</v>
      </c>
      <c r="I17" s="51">
        <f t="shared" si="0"/>
        <v>0.88177499999999998</v>
      </c>
    </row>
    <row r="18" spans="3:10" ht="15.75" thickBot="1" x14ac:dyDescent="0.3">
      <c r="C18" s="117"/>
      <c r="D18" s="111" t="s">
        <v>66</v>
      </c>
      <c r="E18" s="111"/>
      <c r="F18" s="67">
        <v>1</v>
      </c>
      <c r="G18" s="67">
        <v>43.738500000000002</v>
      </c>
      <c r="H18" s="69">
        <v>25</v>
      </c>
      <c r="I18" s="51">
        <f t="shared" si="0"/>
        <v>1.0934625</v>
      </c>
    </row>
    <row r="19" spans="3:10" ht="15.75" thickBot="1" x14ac:dyDescent="0.3">
      <c r="C19" s="117"/>
      <c r="D19" s="111" t="s">
        <v>68</v>
      </c>
      <c r="E19" s="111"/>
      <c r="F19" s="67">
        <v>1</v>
      </c>
      <c r="G19" s="67">
        <v>55.150500000000001</v>
      </c>
      <c r="H19" s="69">
        <v>25</v>
      </c>
      <c r="I19" s="51">
        <f t="shared" si="0"/>
        <v>1.3787625000000001</v>
      </c>
    </row>
    <row r="20" spans="3:10" ht="15.75" thickBot="1" x14ac:dyDescent="0.3">
      <c r="C20" s="117"/>
      <c r="D20" s="111" t="s">
        <v>70</v>
      </c>
      <c r="E20" s="111"/>
      <c r="F20" s="67">
        <v>1</v>
      </c>
      <c r="G20" s="67">
        <v>17.188500000000001</v>
      </c>
      <c r="H20" s="69">
        <v>25</v>
      </c>
      <c r="I20" s="51">
        <f t="shared" si="0"/>
        <v>0.42971250000000005</v>
      </c>
    </row>
    <row r="21" spans="3:10" ht="15.75" thickBot="1" x14ac:dyDescent="0.3">
      <c r="C21" s="117"/>
      <c r="D21" s="111" t="s">
        <v>72</v>
      </c>
      <c r="E21" s="111"/>
      <c r="F21" s="67">
        <v>1</v>
      </c>
      <c r="G21" s="67">
        <v>1479.557</v>
      </c>
      <c r="H21" s="69">
        <v>25</v>
      </c>
      <c r="I21" s="51">
        <f t="shared" si="0"/>
        <v>36.988925000000002</v>
      </c>
    </row>
    <row r="22" spans="3:10" ht="15.75" thickBot="1" x14ac:dyDescent="0.3">
      <c r="C22" s="117"/>
      <c r="D22" s="112" t="s">
        <v>74</v>
      </c>
      <c r="E22" s="112"/>
      <c r="F22" s="71">
        <v>1</v>
      </c>
      <c r="G22" s="71">
        <v>115.3165</v>
      </c>
      <c r="H22" s="74">
        <v>25</v>
      </c>
      <c r="I22" s="72">
        <f t="shared" si="0"/>
        <v>2.8829124999999998</v>
      </c>
    </row>
    <row r="23" spans="3:10" ht="15.75" thickBot="1" x14ac:dyDescent="0.3">
      <c r="C23" s="117">
        <v>1</v>
      </c>
      <c r="D23" s="113" t="s">
        <v>76</v>
      </c>
      <c r="E23" s="113"/>
      <c r="F23" s="63">
        <v>1</v>
      </c>
      <c r="G23" s="63">
        <v>28.220199999999998</v>
      </c>
      <c r="H23" s="65">
        <v>25</v>
      </c>
      <c r="I23" s="49">
        <f t="shared" si="0"/>
        <v>0.70550500000000005</v>
      </c>
    </row>
    <row r="24" spans="3:10" ht="15.75" thickBot="1" x14ac:dyDescent="0.3">
      <c r="C24" s="117"/>
      <c r="D24" s="111" t="s">
        <v>78</v>
      </c>
      <c r="E24" s="111"/>
      <c r="F24" s="67">
        <v>1</v>
      </c>
      <c r="G24" s="67">
        <v>15.9658</v>
      </c>
      <c r="H24" s="69">
        <v>25</v>
      </c>
      <c r="I24" s="51">
        <f t="shared" si="0"/>
        <v>0.39914499999999997</v>
      </c>
    </row>
    <row r="25" spans="3:10" ht="15.75" thickBot="1" x14ac:dyDescent="0.3">
      <c r="C25" s="117"/>
      <c r="D25" s="111" t="s">
        <v>80</v>
      </c>
      <c r="E25" s="111"/>
      <c r="F25" s="67">
        <v>2</v>
      </c>
      <c r="G25" s="67">
        <v>6.4055</v>
      </c>
      <c r="H25" s="69">
        <v>25</v>
      </c>
      <c r="I25" s="51">
        <f t="shared" si="0"/>
        <v>0.32027499999999998</v>
      </c>
    </row>
    <row r="26" spans="3:10" ht="15.75" thickBot="1" x14ac:dyDescent="0.3">
      <c r="C26" s="117"/>
      <c r="D26" s="111" t="s">
        <v>57</v>
      </c>
      <c r="E26" s="111"/>
      <c r="F26" s="67">
        <v>1</v>
      </c>
      <c r="G26" s="67">
        <v>1.4850000000000001</v>
      </c>
      <c r="H26" s="69">
        <v>25</v>
      </c>
      <c r="I26" s="51">
        <f t="shared" si="0"/>
        <v>3.7124999999999998E-2</v>
      </c>
    </row>
    <row r="27" spans="3:10" ht="15.75" thickBot="1" x14ac:dyDescent="0.3">
      <c r="C27" s="117"/>
      <c r="D27" s="111" t="s">
        <v>84</v>
      </c>
      <c r="E27" s="111"/>
      <c r="F27" s="67">
        <v>1</v>
      </c>
      <c r="G27" s="67">
        <v>59.0762</v>
      </c>
      <c r="H27" s="69">
        <v>25</v>
      </c>
      <c r="I27" s="51">
        <f t="shared" si="0"/>
        <v>1.4769049999999999</v>
      </c>
    </row>
    <row r="28" spans="3:10" ht="15.75" thickBot="1" x14ac:dyDescent="0.3">
      <c r="C28" s="117"/>
      <c r="D28" s="111" t="s">
        <v>86</v>
      </c>
      <c r="E28" s="111"/>
      <c r="F28" s="67">
        <v>1</v>
      </c>
      <c r="G28" s="67">
        <v>35.673999999999999</v>
      </c>
      <c r="H28" s="69">
        <v>25</v>
      </c>
      <c r="I28" s="51">
        <f t="shared" si="0"/>
        <v>0.89185000000000003</v>
      </c>
    </row>
    <row r="29" spans="3:10" ht="15.75" thickBot="1" x14ac:dyDescent="0.3">
      <c r="C29" s="117"/>
      <c r="D29" s="111" t="s">
        <v>88</v>
      </c>
      <c r="E29" s="111"/>
      <c r="F29" s="67">
        <v>1</v>
      </c>
      <c r="G29" s="67">
        <v>19.590900000000001</v>
      </c>
      <c r="H29" s="69">
        <v>25</v>
      </c>
      <c r="I29" s="51">
        <f t="shared" si="0"/>
        <v>0.48977250000000006</v>
      </c>
    </row>
    <row r="30" spans="3:10" ht="15.75" thickBot="1" x14ac:dyDescent="0.3">
      <c r="C30" s="117"/>
      <c r="D30" s="111" t="s">
        <v>90</v>
      </c>
      <c r="E30" s="111"/>
      <c r="F30" s="67">
        <v>1</v>
      </c>
      <c r="G30" s="67">
        <v>30.0563</v>
      </c>
      <c r="H30" s="69">
        <v>25</v>
      </c>
      <c r="I30" s="51">
        <f t="shared" si="0"/>
        <v>0.75140750000000001</v>
      </c>
    </row>
    <row r="31" spans="3:10" ht="15.75" thickBot="1" x14ac:dyDescent="0.3">
      <c r="C31" s="117"/>
      <c r="D31" s="112" t="s">
        <v>92</v>
      </c>
      <c r="E31" s="112"/>
      <c r="F31" s="71">
        <v>1</v>
      </c>
      <c r="G31" s="71">
        <v>54.884</v>
      </c>
      <c r="H31" s="74">
        <v>25</v>
      </c>
      <c r="I31" s="72">
        <f t="shared" si="0"/>
        <v>1.3720999999999999</v>
      </c>
    </row>
    <row r="32" spans="3:10" ht="15.75" thickBot="1" x14ac:dyDescent="0.3">
      <c r="H32" s="81" t="s">
        <v>134</v>
      </c>
      <c r="I32" s="82">
        <f>SUM(I6:I31)</f>
        <v>52.681354640089985</v>
      </c>
      <c r="J32" t="s">
        <v>122</v>
      </c>
    </row>
  </sheetData>
  <mergeCells count="40">
    <mergeCell ref="C3:I3"/>
    <mergeCell ref="C4:C5"/>
    <mergeCell ref="D4:E5"/>
    <mergeCell ref="F4:F5"/>
    <mergeCell ref="G4:G5"/>
    <mergeCell ref="H4:H5"/>
    <mergeCell ref="I4:I5"/>
    <mergeCell ref="C6:C22"/>
    <mergeCell ref="D6:E6"/>
    <mergeCell ref="D7:E7"/>
    <mergeCell ref="D8:E8"/>
    <mergeCell ref="D9:E12"/>
    <mergeCell ref="D13:E13"/>
    <mergeCell ref="D14:E14"/>
    <mergeCell ref="D15:E15"/>
    <mergeCell ref="D16:E16"/>
    <mergeCell ref="D22:E22"/>
    <mergeCell ref="G9:G10"/>
    <mergeCell ref="H9:H10"/>
    <mergeCell ref="I9:I10"/>
    <mergeCell ref="F11:F12"/>
    <mergeCell ref="G11:G12"/>
    <mergeCell ref="H11:H12"/>
    <mergeCell ref="I11:I12"/>
    <mergeCell ref="F9:F10"/>
    <mergeCell ref="D17:E17"/>
    <mergeCell ref="D18:E18"/>
    <mergeCell ref="D19:E19"/>
    <mergeCell ref="D20:E20"/>
    <mergeCell ref="D21:E21"/>
    <mergeCell ref="C23:C31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3"/>
  <sheetViews>
    <sheetView tabSelected="1" workbookViewId="0">
      <selection activeCell="N4" sqref="N4"/>
    </sheetView>
  </sheetViews>
  <sheetFormatPr defaultRowHeight="15" x14ac:dyDescent="0.25"/>
  <cols>
    <col min="1" max="1" width="9.140625" customWidth="1"/>
    <col min="2" max="2" width="22.7109375" bestFit="1" customWidth="1"/>
    <col min="3" max="5" width="9.140625" customWidth="1"/>
    <col min="6" max="6" width="22.7109375" bestFit="1" customWidth="1"/>
    <col min="7" max="7" width="9.140625" customWidth="1"/>
    <col min="8" max="8" width="17.85546875" bestFit="1" customWidth="1"/>
    <col min="9" max="9" width="9.140625" customWidth="1"/>
  </cols>
  <sheetData>
    <row r="1" spans="2:9" ht="15.75" thickBot="1" x14ac:dyDescent="0.3"/>
    <row r="2" spans="2:9" ht="15.75" thickBot="1" x14ac:dyDescent="0.3">
      <c r="B2" s="83" t="s">
        <v>135</v>
      </c>
      <c r="C2" s="84" t="s">
        <v>136</v>
      </c>
      <c r="D2" s="84" t="s">
        <v>137</v>
      </c>
      <c r="E2" s="84" t="s">
        <v>138</v>
      </c>
      <c r="F2" s="83" t="s">
        <v>135</v>
      </c>
      <c r="H2" s="123" t="s">
        <v>139</v>
      </c>
      <c r="I2" s="122">
        <v>160</v>
      </c>
    </row>
    <row r="3" spans="2:9" ht="15.75" thickBot="1" x14ac:dyDescent="0.3">
      <c r="B3" s="85">
        <f>Maquinas_e_Aparelhos!K16+Iluminaçao_e_Tomadas!I32+Maquinas_e_Aparelhos!Z21</f>
        <v>163.74135464008998</v>
      </c>
      <c r="C3" s="86">
        <v>1</v>
      </c>
      <c r="D3" s="86">
        <v>0.7</v>
      </c>
      <c r="E3" s="86">
        <v>1.2</v>
      </c>
      <c r="F3" s="86">
        <f>B3*C3*D3*E3</f>
        <v>137.54273789767558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Influencias_Externas</vt:lpstr>
      <vt:lpstr>Maquinas_e_Aparelhos</vt:lpstr>
      <vt:lpstr>AVAC</vt:lpstr>
      <vt:lpstr>Iluminaçao_e_Tomadas</vt:lpstr>
      <vt:lpstr>Potencia_Previsivel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Macedo</dc:creator>
  <cp:lastModifiedBy>Luis Macedo</cp:lastModifiedBy>
  <dcterms:created xsi:type="dcterms:W3CDTF">2022-10-25T10:26:48Z</dcterms:created>
  <dcterms:modified xsi:type="dcterms:W3CDTF">2022-11-18T11:01:47Z</dcterms:modified>
</cp:coreProperties>
</file>